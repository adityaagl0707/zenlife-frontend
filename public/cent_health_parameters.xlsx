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80" tabRatio="600" firstSheet="0" activeTab="0" autoFilterDateGrouping="1"/>
  </bookViews>
  <sheets>
    <sheet name="Health Paramet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b val="1"/>
      <color rgb="FF333333"/>
      <sz val="9"/>
    </font>
    <font>
      <name val="Calibri"/>
      <family val="2"/>
      <color rgb="FF1A5C1A"/>
      <sz val="8"/>
    </font>
    <font>
      <name val="Calibri"/>
      <family val="2"/>
      <color rgb="FF7A6000"/>
      <sz val="8"/>
    </font>
    <font>
      <name val="Calibri"/>
      <family val="2"/>
      <color rgb="FF8A4000"/>
      <sz val="8"/>
    </font>
    <font>
      <name val="Calibri"/>
      <family val="2"/>
      <color rgb="FF8A0000"/>
      <sz val="8"/>
    </font>
    <font>
      <name val="Calibri"/>
      <family val="2"/>
      <b val="1"/>
      <color rgb="FF1A3A6B"/>
      <sz val="9"/>
    </font>
    <font>
      <name val="Calibri"/>
      <family val="2"/>
      <b val="1"/>
      <color rgb="FF6B1A1A"/>
      <sz val="9"/>
    </font>
    <font>
      <name val="Calibri"/>
      <family val="2"/>
      <color rgb="FF999999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</fonts>
  <fills count="24">
    <fill>
      <patternFill/>
    </fill>
    <fill>
      <patternFill patternType="gray125"/>
    </fill>
    <fill>
      <patternFill patternType="solid">
        <fgColor rgb="FF0E5C45"/>
        <bgColor rgb="FF0E5C45"/>
      </patternFill>
    </fill>
    <fill>
      <patternFill patternType="solid">
        <fgColor rgb="FFD6F5D6"/>
        <bgColor rgb="FFD6F5D6"/>
      </patternFill>
    </fill>
    <fill>
      <patternFill patternType="solid">
        <fgColor rgb="FFFEFCD0"/>
        <bgColor rgb="FFFEFCD0"/>
      </patternFill>
    </fill>
    <fill>
      <patternFill patternType="solid">
        <fgColor rgb="FFFFE0B2"/>
        <bgColor rgb="FFFFE0B2"/>
      </patternFill>
    </fill>
    <fill>
      <patternFill patternType="solid">
        <fgColor rgb="FFFFCCCC"/>
        <bgColor rgb="FFFFCCCC"/>
      </patternFill>
    </fill>
    <fill>
      <patternFill patternType="solid">
        <fgColor rgb="FF1A3A6B"/>
        <bgColor rgb="FF1A3A6B"/>
      </patternFill>
    </fill>
    <fill>
      <patternFill patternType="solid">
        <fgColor rgb="FF6B1A1A"/>
        <bgColor rgb="FF6B1A1A"/>
      </patternFill>
    </fill>
    <fill>
      <patternFill patternType="solid">
        <fgColor rgb="FFF0FFF0"/>
        <bgColor rgb="FFF0FFF0"/>
      </patternFill>
    </fill>
    <fill>
      <patternFill patternType="solid">
        <fgColor rgb="FFFEFEF0"/>
        <bgColor rgb="FFFEFEF0"/>
      </patternFill>
    </fill>
    <fill>
      <patternFill patternType="solid">
        <fgColor rgb="FFFFF5E0"/>
        <bgColor rgb="FFFFF5E0"/>
      </patternFill>
    </fill>
    <fill>
      <patternFill patternType="solid">
        <fgColor rgb="FFFFF0F0"/>
        <bgColor rgb="FFFFF0F0"/>
      </patternFill>
    </fill>
    <fill>
      <patternFill patternType="solid">
        <fgColor rgb="FFD0E4FF"/>
        <bgColor rgb="FFD0E4FF"/>
      </patternFill>
    </fill>
    <fill>
      <patternFill patternType="solid">
        <fgColor rgb="FFFFD0D0"/>
        <bgColor rgb="FFFFD0D0"/>
      </patternFill>
    </fill>
    <fill>
      <patternFill patternType="solid">
        <fgColor rgb="FFFFE5CC"/>
        <bgColor rgb="FFFFE5CC"/>
      </patternFill>
    </fill>
    <fill>
      <patternFill patternType="solid">
        <fgColor rgb="FFFFFACC"/>
        <bgColor rgb="FFFFFACC"/>
      </patternFill>
    </fill>
    <fill>
      <patternFill patternType="solid">
        <fgColor rgb="FFCCFFCC"/>
        <bgColor rgb="FFCCFFCC"/>
      </patternFill>
    </fill>
    <fill>
      <patternFill patternType="solid">
        <fgColor rgb="FFE6F0FF"/>
        <bgColor rgb="FFE6F0FF"/>
      </patternFill>
    </fill>
    <fill>
      <patternFill patternType="solid">
        <fgColor rgb="FF0E5C45"/>
        <bgColor rgb="FF0E5C45"/>
      </patternFill>
    </fill>
    <fill>
      <patternFill patternType="solid">
        <fgColor rgb="FFFFF0F5"/>
        <bgColor rgb="FFFFF0F5"/>
      </patternFill>
    </fill>
    <fill>
      <patternFill patternType="solid">
        <fgColor rgb="FFE8F4E8"/>
      </patternFill>
    </fill>
    <fill>
      <patternFill patternType="solid">
        <fgColor rgb="FFFCE4EC"/>
      </patternFill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8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0" fontId="10" fillId="1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8"/>
  <sheetViews>
    <sheetView tabSelected="1" workbookViewId="0">
      <pane ySplit="1" topLeftCell="A68" activePane="bottomLeft" state="frozen"/>
      <selection pane="bottomLeft" activeCell="G81" sqref="G81"/>
    </sheetView>
  </sheetViews>
  <sheetFormatPr baseColWidth="10" defaultColWidth="8.83203125" defaultRowHeight="15"/>
  <cols>
    <col width="7" customWidth="1" min="1" max="1"/>
    <col width="36" customWidth="1" min="2" max="2"/>
    <col width="10" customWidth="1" min="3" max="16"/>
    <col width="16" customWidth="1" min="17" max="17"/>
    <col width="14" customWidth="1" min="18" max="18"/>
    <col width="16" customWidth="1" min="19" max="19"/>
    <col width="28" customWidth="1" min="20" max="22"/>
    <col width="16" customWidth="1" min="23" max="24"/>
    <col width="10" customWidth="1" min="27" max="27"/>
  </cols>
  <sheetData>
    <row r="1" ht="36" customHeight="1">
      <c r="A1" s="1" t="inlineStr">
        <is>
          <t>Sr. No.</t>
        </is>
      </c>
      <c r="B1" s="1" t="inlineStr">
        <is>
          <t>Parameter Name</t>
        </is>
      </c>
      <c r="C1" t="inlineStr">
        <is>
          <t>What Marker Is This</t>
        </is>
      </c>
      <c r="D1" s="1" t="inlineStr">
        <is>
          <t>Severity</t>
        </is>
      </c>
      <c r="E1" s="1" t="inlineStr">
        <is>
          <t>Heart Health</t>
        </is>
      </c>
      <c r="F1" t="inlineStr">
        <is>
          <t>Endocrine &amp; Hormonal Health</t>
        </is>
      </c>
      <c r="G1" s="1" t="inlineStr">
        <is>
          <t>Liver &amp; Digestive Health</t>
        </is>
      </c>
      <c r="H1" t="inlineStr">
        <is>
          <t>Brain &amp; Mental Health</t>
        </is>
      </c>
      <c r="I1" s="1" t="inlineStr">
        <is>
          <t>Kidney &amp; Urinary Health</t>
        </is>
      </c>
      <c r="J1" t="inlineStr">
        <is>
          <t>Blood, Immunity &amp; Nutrition</t>
        </is>
      </c>
      <c r="K1" s="1" t="inlineStr">
        <is>
          <t>Bone, Muscle &amp; Joint Health</t>
        </is>
      </c>
      <c r="L1" s="1" t="inlineStr">
        <is>
          <t>Lung &amp; Respiratory Health</t>
        </is>
      </c>
      <c r="M1" s="1" t="inlineStr">
        <is>
          <t>Vascular Health</t>
        </is>
      </c>
      <c r="N1" s="20" t="inlineStr">
        <is>
          <t>Women's Health</t>
        </is>
      </c>
      <c r="O1" s="20" t="inlineStr">
        <is>
          <t>Men's Health</t>
        </is>
      </c>
      <c r="P1" s="1" t="inlineStr">
        <is>
          <t>Cent.health Report Source</t>
        </is>
      </c>
      <c r="Q1" s="1" t="inlineStr">
        <is>
          <t>ZenLife Admin Panel Source</t>
        </is>
      </c>
      <c r="R1" s="2" t="inlineStr">
        <is>
          <t>Normal Value / Range</t>
        </is>
      </c>
      <c r="S1" s="3" t="inlineStr">
        <is>
          <t>Minor Threshold</t>
        </is>
      </c>
      <c r="T1" s="4" t="inlineStr">
        <is>
          <t>Major Threshold</t>
        </is>
      </c>
      <c r="U1" s="5" t="inlineStr">
        <is>
          <t>Critical Threshold</t>
        </is>
      </c>
      <c r="V1" s="6" t="inlineStr">
        <is>
          <t>Body Age Parameter</t>
        </is>
      </c>
      <c r="W1" s="7" t="inlineStr">
        <is>
          <t>Longevity Parameter</t>
        </is>
      </c>
      <c r="X1" s="24" t="inlineStr">
        <is>
          <t>Gender</t>
        </is>
      </c>
      <c r="Y1" t="inlineStr">
        <is>
          <t>Paired With</t>
        </is>
      </c>
    </row>
    <row r="2" ht="16" customHeight="1">
      <c r="A2" s="8" t="n">
        <v>1</v>
      </c>
      <c r="B2" s="8" t="inlineStr">
        <is>
          <t>Agatston Score (Total)</t>
        </is>
      </c>
      <c r="C2" t="inlineStr">
        <is>
          <t>Coronary Calcium Score</t>
        </is>
      </c>
      <c r="D2" s="8" t="inlineStr">
        <is>
          <t>Critical</t>
        </is>
      </c>
      <c r="E2" s="8" t="inlineStr">
        <is>
          <t>Yes</t>
        </is>
      </c>
      <c r="G2" s="8" t="n"/>
      <c r="I2" s="8" t="n"/>
      <c r="K2" s="8" t="n"/>
      <c r="L2" s="8" t="n"/>
      <c r="M2" s="8" t="n"/>
      <c r="N2" s="21" t="n"/>
      <c r="O2" s="21" t="n"/>
      <c r="P2" s="8" t="inlineStr">
        <is>
          <t>CT Calcium Score</t>
        </is>
      </c>
      <c r="Q2" s="8" t="inlineStr">
        <is>
          <t>Calcium Score Report</t>
        </is>
      </c>
      <c r="R2" s="9" t="n"/>
      <c r="S2" s="10" t="inlineStr">
        <is>
          <t>—</t>
        </is>
      </c>
      <c r="T2" s="11" t="inlineStr">
        <is>
          <t>—</t>
        </is>
      </c>
      <c r="U2" s="12" t="inlineStr">
        <is>
          <t>—</t>
        </is>
      </c>
      <c r="V2" s="13" t="inlineStr">
        <is>
          <t>Yes</t>
        </is>
      </c>
      <c r="W2" s="14" t="inlineStr">
        <is>
          <t>Yes</t>
        </is>
      </c>
      <c r="X2" s="25" t="inlineStr">
        <is>
          <t>U</t>
        </is>
      </c>
    </row>
    <row r="3" ht="16" customHeight="1">
      <c r="A3" s="15" t="n">
        <v>2</v>
      </c>
      <c r="B3" s="15" t="inlineStr">
        <is>
          <t>Gynoid Fat</t>
        </is>
      </c>
      <c r="C3" t="inlineStr">
        <is>
          <t>Hip/Thigh Fat %</t>
        </is>
      </c>
      <c r="D3" s="15" t="inlineStr">
        <is>
          <t>Major</t>
        </is>
      </c>
      <c r="E3" s="15" t="n"/>
      <c r="F3" t="inlineStr">
        <is>
          <t>Yes</t>
        </is>
      </c>
      <c r="G3" s="15" t="n"/>
      <c r="I3" s="15" t="n"/>
      <c r="K3" s="15" t="n"/>
      <c r="L3" s="15" t="n"/>
      <c r="M3" s="15" t="n"/>
      <c r="N3" s="21" t="n"/>
      <c r="O3" s="21" t="n"/>
      <c r="P3" s="15" t="inlineStr">
        <is>
          <t>DEXA Scan</t>
        </is>
      </c>
      <c r="Q3" s="15" t="inlineStr">
        <is>
          <t>DEXA Report</t>
        </is>
      </c>
      <c r="R3" s="9" t="inlineStr">
        <is>
          <t>≤ 30.0</t>
        </is>
      </c>
      <c r="S3" s="10" t="inlineStr">
        <is>
          <t>30.0 – 36.0</t>
        </is>
      </c>
      <c r="T3" s="11" t="inlineStr">
        <is>
          <t>36.0 – 52.5</t>
        </is>
      </c>
      <c r="U3" s="12" t="inlineStr">
        <is>
          <t>&gt; 52.5</t>
        </is>
      </c>
      <c r="V3" s="16" t="inlineStr">
        <is>
          <t>No</t>
        </is>
      </c>
      <c r="W3" s="16" t="inlineStr">
        <is>
          <t>No</t>
        </is>
      </c>
      <c r="X3" s="25" t="inlineStr">
        <is>
          <t>U</t>
        </is>
      </c>
    </row>
    <row r="4" ht="16" customHeight="1">
      <c r="A4" s="15" t="n">
        <v>3</v>
      </c>
      <c r="B4" s="15" t="inlineStr">
        <is>
          <t>Visceral Fat Mass</t>
        </is>
      </c>
      <c r="C4" t="inlineStr">
        <is>
          <t>Abdominal Fat (DEXA)</t>
        </is>
      </c>
      <c r="D4" s="15" t="inlineStr">
        <is>
          <t>Major</t>
        </is>
      </c>
      <c r="E4" s="15" t="n"/>
      <c r="F4" t="inlineStr">
        <is>
          <t>Yes</t>
        </is>
      </c>
      <c r="G4" s="15" t="n"/>
      <c r="I4" s="15" t="n"/>
      <c r="K4" s="15" t="n"/>
      <c r="L4" s="15" t="n"/>
      <c r="M4" s="15" t="n"/>
      <c r="N4" s="21" t="n"/>
      <c r="O4" s="21" t="n"/>
      <c r="P4" s="15" t="inlineStr">
        <is>
          <t>DEXA Scan</t>
        </is>
      </c>
      <c r="Q4" s="15" t="inlineStr">
        <is>
          <t>DEXA Report</t>
        </is>
      </c>
      <c r="R4" s="9" t="inlineStr">
        <is>
          <t>≤ 1000.0</t>
        </is>
      </c>
      <c r="S4" s="10" t="inlineStr">
        <is>
          <t>1000.0 – 1200.0</t>
        </is>
      </c>
      <c r="T4" s="11" t="inlineStr">
        <is>
          <t>1200.0 – 1750.0</t>
        </is>
      </c>
      <c r="U4" s="12" t="inlineStr">
        <is>
          <t>&gt; 1750.0</t>
        </is>
      </c>
      <c r="V4" s="13" t="inlineStr">
        <is>
          <t>Yes</t>
        </is>
      </c>
      <c r="W4" s="14" t="inlineStr">
        <is>
          <t>Yes</t>
        </is>
      </c>
      <c r="X4" s="25" t="inlineStr">
        <is>
          <t>U</t>
        </is>
      </c>
    </row>
    <row r="5" ht="16" customHeight="1">
      <c r="A5" s="17" t="n">
        <v>4</v>
      </c>
      <c r="B5" s="17" t="inlineStr">
        <is>
          <t>LDL Cholesterol</t>
        </is>
      </c>
      <c r="C5" t="inlineStr">
        <is>
          <t>Bad Cholesterol</t>
        </is>
      </c>
      <c r="D5" s="17" t="inlineStr">
        <is>
          <t>Minor</t>
        </is>
      </c>
      <c r="E5" s="17" t="inlineStr">
        <is>
          <t>Yes</t>
        </is>
      </c>
      <c r="G5" s="17" t="n"/>
      <c r="I5" s="17" t="n"/>
      <c r="K5" s="17" t="n"/>
      <c r="L5" s="17" t="n"/>
      <c r="M5" s="17" t="n"/>
      <c r="N5" s="21" t="n"/>
      <c r="O5" s="21" t="n"/>
      <c r="P5" s="17" t="inlineStr">
        <is>
          <t>Blood Test</t>
        </is>
      </c>
      <c r="Q5" s="17" t="inlineStr">
        <is>
          <t>Blood Report</t>
        </is>
      </c>
      <c r="R5" s="9" t="inlineStr">
        <is>
          <t>≤ 100.0</t>
        </is>
      </c>
      <c r="S5" s="10" t="inlineStr">
        <is>
          <t>100.0 – 120.0</t>
        </is>
      </c>
      <c r="T5" s="11" t="inlineStr">
        <is>
          <t>120.0 – 175.0</t>
        </is>
      </c>
      <c r="U5" s="12" t="inlineStr">
        <is>
          <t>&gt; 175.0</t>
        </is>
      </c>
      <c r="V5" s="13" t="inlineStr">
        <is>
          <t>Yes</t>
        </is>
      </c>
      <c r="W5" s="14" t="inlineStr">
        <is>
          <t>Yes</t>
        </is>
      </c>
      <c r="X5" s="25" t="inlineStr">
        <is>
          <t>U</t>
        </is>
      </c>
    </row>
    <row r="6" ht="16" customHeight="1">
      <c r="A6" s="17" t="n">
        <v>5</v>
      </c>
      <c r="B6" s="17" t="inlineStr">
        <is>
          <t>Fasting Blood Glucose</t>
        </is>
      </c>
      <c r="C6" t="inlineStr">
        <is>
          <t>Fasting Blood Sugar</t>
        </is>
      </c>
      <c r="D6" s="17" t="inlineStr">
        <is>
          <t>Minor</t>
        </is>
      </c>
      <c r="E6" s="17" t="n"/>
      <c r="F6" t="inlineStr">
        <is>
          <t>Yes</t>
        </is>
      </c>
      <c r="G6" s="17" t="n"/>
      <c r="I6" s="17" t="n"/>
      <c r="K6" s="17" t="n"/>
      <c r="L6" s="17" t="n"/>
      <c r="M6" s="17" t="n"/>
      <c r="N6" s="21" t="n"/>
      <c r="O6" s="21" t="n"/>
      <c r="P6" s="17" t="inlineStr">
        <is>
          <t>Blood Test</t>
        </is>
      </c>
      <c r="Q6" s="17" t="inlineStr">
        <is>
          <t>Blood Report</t>
        </is>
      </c>
      <c r="R6" s="9" t="n"/>
      <c r="S6" s="10" t="inlineStr">
        <is>
          <t>—</t>
        </is>
      </c>
      <c r="T6" s="11" t="inlineStr">
        <is>
          <t>—</t>
        </is>
      </c>
      <c r="U6" s="12" t="inlineStr">
        <is>
          <t>—</t>
        </is>
      </c>
      <c r="V6" s="13" t="inlineStr">
        <is>
          <t>Yes</t>
        </is>
      </c>
      <c r="W6" s="14" t="inlineStr">
        <is>
          <t>Yes</t>
        </is>
      </c>
      <c r="X6" s="25" t="inlineStr">
        <is>
          <t>U</t>
        </is>
      </c>
    </row>
    <row r="7" ht="16" customHeight="1">
      <c r="A7" s="17" t="n">
        <v>6</v>
      </c>
      <c r="B7" s="17" t="inlineStr">
        <is>
          <t>Homocysteine Levels</t>
        </is>
      </c>
      <c r="C7" t="inlineStr">
        <is>
          <t>Heart &amp; Brain Risk Marker</t>
        </is>
      </c>
      <c r="D7" s="17" t="inlineStr">
        <is>
          <t>Minor</t>
        </is>
      </c>
      <c r="E7" s="17" t="inlineStr">
        <is>
          <t>Yes</t>
        </is>
      </c>
      <c r="G7" s="17" t="n"/>
      <c r="I7" s="17" t="n"/>
      <c r="K7" s="17" t="n"/>
      <c r="L7" s="17" t="n"/>
      <c r="M7" s="17" t="n"/>
      <c r="N7" s="21" t="n"/>
      <c r="O7" s="21" t="n"/>
      <c r="P7" s="17" t="inlineStr">
        <is>
          <t>Blood Test</t>
        </is>
      </c>
      <c r="Q7" s="17" t="inlineStr">
        <is>
          <t>Blood Report</t>
        </is>
      </c>
      <c r="R7" s="9" t="inlineStr">
        <is>
          <t>≤ 15.0</t>
        </is>
      </c>
      <c r="S7" s="10" t="inlineStr">
        <is>
          <t>15.0 – 18.0</t>
        </is>
      </c>
      <c r="T7" s="11" t="inlineStr">
        <is>
          <t>18.0 – 26.25</t>
        </is>
      </c>
      <c r="U7" s="12" t="inlineStr">
        <is>
          <t>&gt; 26.25</t>
        </is>
      </c>
      <c r="V7" s="13" t="inlineStr">
        <is>
          <t>Yes</t>
        </is>
      </c>
      <c r="W7" s="14" t="inlineStr">
        <is>
          <t>Yes</t>
        </is>
      </c>
      <c r="X7" s="25" t="inlineStr">
        <is>
          <t>U</t>
        </is>
      </c>
    </row>
    <row r="8" ht="16" customHeight="1">
      <c r="A8" s="17" t="n">
        <v>7</v>
      </c>
      <c r="B8" s="17" t="inlineStr">
        <is>
          <t>Total Cholesterol</t>
        </is>
      </c>
      <c r="C8" t="inlineStr">
        <is>
          <t>Cholesterol Sum</t>
        </is>
      </c>
      <c r="D8" s="17" t="inlineStr">
        <is>
          <t>Minor</t>
        </is>
      </c>
      <c r="E8" s="17" t="inlineStr">
        <is>
          <t>Yes</t>
        </is>
      </c>
      <c r="G8" s="17" t="n"/>
      <c r="I8" s="17" t="n"/>
      <c r="K8" s="17" t="n"/>
      <c r="L8" s="17" t="n"/>
      <c r="M8" s="17" t="n"/>
      <c r="N8" s="21" t="n"/>
      <c r="O8" s="21" t="n"/>
      <c r="P8" s="17" t="inlineStr">
        <is>
          <t>Blood Test</t>
        </is>
      </c>
      <c r="Q8" s="17" t="inlineStr">
        <is>
          <t>Blood Report</t>
        </is>
      </c>
      <c r="R8" s="9" t="inlineStr">
        <is>
          <t>≤ 200.0</t>
        </is>
      </c>
      <c r="S8" s="10" t="inlineStr">
        <is>
          <t>200.0 – 240.0</t>
        </is>
      </c>
      <c r="T8" s="11" t="inlineStr">
        <is>
          <t>240.0 – 350.0</t>
        </is>
      </c>
      <c r="U8" s="12" t="inlineStr">
        <is>
          <t>&gt; 350.0</t>
        </is>
      </c>
      <c r="V8" s="13" t="inlineStr">
        <is>
          <t>Yes</t>
        </is>
      </c>
      <c r="W8" s="14" t="inlineStr">
        <is>
          <t>Yes</t>
        </is>
      </c>
      <c r="X8" s="25" t="inlineStr">
        <is>
          <t>U</t>
        </is>
      </c>
    </row>
    <row r="9" ht="16" customHeight="1">
      <c r="A9" s="17" t="n">
        <v>8</v>
      </c>
      <c r="B9" s="17" t="inlineStr">
        <is>
          <t>HDL Cholesterol</t>
        </is>
      </c>
      <c r="C9" t="inlineStr">
        <is>
          <t>Good Cholesterol</t>
        </is>
      </c>
      <c r="D9" s="17" t="inlineStr">
        <is>
          <t>Minor</t>
        </is>
      </c>
      <c r="E9" s="17" t="inlineStr">
        <is>
          <t>Yes</t>
        </is>
      </c>
      <c r="G9" s="17" t="n"/>
      <c r="I9" s="17" t="n"/>
      <c r="K9" s="17" t="n"/>
      <c r="L9" s="17" t="n"/>
      <c r="M9" s="17" t="n"/>
      <c r="N9" s="21" t="n"/>
      <c r="O9" s="21" t="n"/>
      <c r="P9" s="17" t="inlineStr">
        <is>
          <t>Blood Test</t>
        </is>
      </c>
      <c r="Q9" s="17" t="inlineStr">
        <is>
          <t>Blood Report</t>
        </is>
      </c>
      <c r="R9" s="9" t="inlineStr">
        <is>
          <t>≥ 50.0</t>
        </is>
      </c>
      <c r="S9" s="10" t="inlineStr">
        <is>
          <t>40.0 – 50.0</t>
        </is>
      </c>
      <c r="T9" s="11" t="inlineStr">
        <is>
          <t>25.0 – 40.0</t>
        </is>
      </c>
      <c r="U9" s="12" t="inlineStr">
        <is>
          <t>&lt; 25.0</t>
        </is>
      </c>
      <c r="V9" s="13" t="inlineStr">
        <is>
          <t>Yes</t>
        </is>
      </c>
      <c r="W9" s="14" t="inlineStr">
        <is>
          <t>Yes</t>
        </is>
      </c>
      <c r="X9" s="25" t="inlineStr">
        <is>
          <t>U</t>
        </is>
      </c>
    </row>
    <row r="10" ht="16" customHeight="1">
      <c r="A10" s="17" t="n">
        <v>9</v>
      </c>
      <c r="B10" s="17" t="inlineStr">
        <is>
          <t>Triglycerides</t>
        </is>
      </c>
      <c r="C10" t="inlineStr">
        <is>
          <t>Circulating Blood Fat</t>
        </is>
      </c>
      <c r="D10" s="17" t="inlineStr">
        <is>
          <t>Minor</t>
        </is>
      </c>
      <c r="E10" s="17" t="inlineStr">
        <is>
          <t>Yes</t>
        </is>
      </c>
      <c r="G10" s="17" t="n"/>
      <c r="I10" s="17" t="n"/>
      <c r="K10" s="17" t="n"/>
      <c r="L10" s="17" t="n"/>
      <c r="M10" s="17" t="n"/>
      <c r="N10" s="21" t="n"/>
      <c r="O10" s="21" t="n"/>
      <c r="P10" s="17" t="inlineStr">
        <is>
          <t>Blood Test</t>
        </is>
      </c>
      <c r="Q10" s="17" t="inlineStr">
        <is>
          <t>Blood Report</t>
        </is>
      </c>
      <c r="R10" s="9" t="inlineStr">
        <is>
          <t>≤ 150.0</t>
        </is>
      </c>
      <c r="S10" s="10" t="inlineStr">
        <is>
          <t>150.0 – 180.0</t>
        </is>
      </c>
      <c r="T10" s="11" t="inlineStr">
        <is>
          <t>180.0 – 262.5</t>
        </is>
      </c>
      <c r="U10" s="12" t="inlineStr">
        <is>
          <t>&gt; 262.5</t>
        </is>
      </c>
      <c r="V10" s="13" t="inlineStr">
        <is>
          <t>Yes</t>
        </is>
      </c>
      <c r="W10" s="14" t="inlineStr">
        <is>
          <t>Yes</t>
        </is>
      </c>
      <c r="X10" s="25" t="inlineStr">
        <is>
          <t>U</t>
        </is>
      </c>
    </row>
    <row r="11" ht="16" customHeight="1">
      <c r="A11" s="17" t="n">
        <v>10</v>
      </c>
      <c r="B11" s="17" t="inlineStr">
        <is>
          <t>Non-HDL Cholesterol</t>
        </is>
      </c>
      <c r="C11" t="inlineStr">
        <is>
          <t>All Bad Cholesterol</t>
        </is>
      </c>
      <c r="D11" s="17" t="inlineStr">
        <is>
          <t>Minor</t>
        </is>
      </c>
      <c r="E11" s="17" t="inlineStr">
        <is>
          <t>Yes</t>
        </is>
      </c>
      <c r="G11" s="17" t="n"/>
      <c r="I11" s="17" t="n"/>
      <c r="K11" s="17" t="n"/>
      <c r="L11" s="17" t="n"/>
      <c r="M11" s="17" t="n"/>
      <c r="N11" s="21" t="n"/>
      <c r="O11" s="21" t="n"/>
      <c r="P11" s="17" t="inlineStr">
        <is>
          <t>Blood Test</t>
        </is>
      </c>
      <c r="Q11" s="17" t="inlineStr">
        <is>
          <t>Blood Report</t>
        </is>
      </c>
      <c r="R11" s="9" t="inlineStr">
        <is>
          <t>≤ 130.0</t>
        </is>
      </c>
      <c r="S11" s="10" t="inlineStr">
        <is>
          <t>130.0 – 156.0</t>
        </is>
      </c>
      <c r="T11" s="11" t="inlineStr">
        <is>
          <t>156.0 – 227.5</t>
        </is>
      </c>
      <c r="U11" s="12" t="inlineStr">
        <is>
          <t>&gt; 227.5</t>
        </is>
      </c>
      <c r="V11" s="16" t="inlineStr">
        <is>
          <t>No</t>
        </is>
      </c>
      <c r="W11" s="14" t="inlineStr">
        <is>
          <t>Yes</t>
        </is>
      </c>
      <c r="X11" s="25" t="inlineStr">
        <is>
          <t>U</t>
        </is>
      </c>
    </row>
    <row r="12" ht="16" customHeight="1">
      <c r="A12" s="17" t="n">
        <v>11</v>
      </c>
      <c r="B12" s="17" t="inlineStr">
        <is>
          <t>AST</t>
        </is>
      </c>
      <c r="C12" t="inlineStr">
        <is>
          <t>Liver &amp; Heart Enzyme</t>
        </is>
      </c>
      <c r="D12" s="17" t="inlineStr">
        <is>
          <t>Minor</t>
        </is>
      </c>
      <c r="E12" s="17" t="n"/>
      <c r="G12" s="17" t="inlineStr">
        <is>
          <t>Yes</t>
        </is>
      </c>
      <c r="I12" s="17" t="n"/>
      <c r="K12" s="17" t="n"/>
      <c r="L12" s="17" t="n"/>
      <c r="M12" s="17" t="n"/>
      <c r="N12" s="21" t="n"/>
      <c r="O12" s="21" t="n"/>
      <c r="P12" s="17" t="inlineStr">
        <is>
          <t>Blood Test</t>
        </is>
      </c>
      <c r="Q12" s="17" t="inlineStr">
        <is>
          <t>Blood Report</t>
        </is>
      </c>
      <c r="R12" s="9" t="inlineStr">
        <is>
          <t>≤ 31.0</t>
        </is>
      </c>
      <c r="S12" s="10" t="inlineStr">
        <is>
          <t>31.0 – 37.2</t>
        </is>
      </c>
      <c r="T12" s="11" t="inlineStr">
        <is>
          <t>37.2 – 54.25</t>
        </is>
      </c>
      <c r="U12" s="12" t="inlineStr">
        <is>
          <t>&gt; 54.25</t>
        </is>
      </c>
      <c r="V12" s="16" t="inlineStr">
        <is>
          <t>No</t>
        </is>
      </c>
      <c r="W12" s="16" t="inlineStr">
        <is>
          <t>No</t>
        </is>
      </c>
      <c r="X12" s="25" t="inlineStr">
        <is>
          <t>U</t>
        </is>
      </c>
    </row>
    <row r="13" ht="16" customHeight="1">
      <c r="A13" s="17" t="n">
        <v>12</v>
      </c>
      <c r="B13" s="17" t="inlineStr">
        <is>
          <t>Total Protein</t>
        </is>
      </c>
      <c r="C13" t="inlineStr">
        <is>
          <t>Nutritional &amp; Liver Health Marker</t>
        </is>
      </c>
      <c r="D13" s="17" t="inlineStr">
        <is>
          <t>Minor</t>
        </is>
      </c>
      <c r="E13" s="17" t="n"/>
      <c r="G13" s="17" t="inlineStr">
        <is>
          <t>Yes</t>
        </is>
      </c>
      <c r="I13" s="17" t="n"/>
      <c r="K13" s="17" t="n"/>
      <c r="L13" s="17" t="n"/>
      <c r="M13" s="17" t="n"/>
      <c r="N13" s="21" t="n"/>
      <c r="O13" s="21" t="n"/>
      <c r="P13" s="17" t="inlineStr">
        <is>
          <t>Blood Test</t>
        </is>
      </c>
      <c r="Q13" s="17" t="inlineStr">
        <is>
          <t>Blood Report</t>
        </is>
      </c>
      <c r="R13" s="9" t="inlineStr">
        <is>
          <t>5.7 – 8.2</t>
        </is>
      </c>
      <c r="S13" s="10" t="inlineStr">
        <is>
          <t>4.95 – 5.7  or  8.2 – 8.95</t>
        </is>
      </c>
      <c r="T13" s="11" t="inlineStr">
        <is>
          <t>3.2 – 4.95  or  8.95 – 10.7</t>
        </is>
      </c>
      <c r="U13" s="12" t="inlineStr">
        <is>
          <t>&lt; 3.2  or  &gt; 10.7</t>
        </is>
      </c>
      <c r="V13" s="16" t="inlineStr">
        <is>
          <t>No</t>
        </is>
      </c>
      <c r="W13" s="16" t="inlineStr">
        <is>
          <t>No</t>
        </is>
      </c>
      <c r="X13" s="25" t="inlineStr">
        <is>
          <t>U</t>
        </is>
      </c>
    </row>
    <row r="14" ht="16" customHeight="1">
      <c r="A14" s="17" t="n">
        <v>13</v>
      </c>
      <c r="B14" s="17" t="inlineStr">
        <is>
          <t>Globulin</t>
        </is>
      </c>
      <c r="C14" t="inlineStr">
        <is>
          <t>Immune &amp; Protein Balance</t>
        </is>
      </c>
      <c r="D14" s="17" t="inlineStr">
        <is>
          <t>Minor</t>
        </is>
      </c>
      <c r="E14" s="17" t="n"/>
      <c r="G14" s="17" t="inlineStr">
        <is>
          <t>Yes</t>
        </is>
      </c>
      <c r="I14" s="17" t="n"/>
      <c r="K14" s="17" t="n"/>
      <c r="L14" s="17" t="n"/>
      <c r="M14" s="17" t="n"/>
      <c r="N14" s="21" t="n"/>
      <c r="O14" s="21" t="n"/>
      <c r="P14" s="17" t="inlineStr">
        <is>
          <t>Blood Test</t>
        </is>
      </c>
      <c r="Q14" s="17" t="inlineStr">
        <is>
          <t>Blood Report</t>
        </is>
      </c>
      <c r="R14" s="9" t="inlineStr">
        <is>
          <t>2.5 – 3.4</t>
        </is>
      </c>
      <c r="S14" s="10" t="inlineStr">
        <is>
          <t>2.23 – 2.5  or  3.4 – 3.67</t>
        </is>
      </c>
      <c r="T14" s="11" t="inlineStr">
        <is>
          <t>1.6 – 2.23  or  3.67 – 4.3</t>
        </is>
      </c>
      <c r="U14" s="12" t="inlineStr">
        <is>
          <t>&lt; 1.6  or  &gt; 4.3</t>
        </is>
      </c>
      <c r="V14" s="16" t="inlineStr">
        <is>
          <t>No</t>
        </is>
      </c>
      <c r="W14" s="16" t="inlineStr">
        <is>
          <t>No</t>
        </is>
      </c>
      <c r="X14" s="25" t="inlineStr">
        <is>
          <t>U</t>
        </is>
      </c>
    </row>
    <row r="15" ht="16" customHeight="1">
      <c r="A15" s="17" t="n">
        <v>14</v>
      </c>
      <c r="B15" s="17" t="inlineStr">
        <is>
          <t>ALT</t>
        </is>
      </c>
      <c r="C15" t="inlineStr">
        <is>
          <t>Liver Health Enzyme</t>
        </is>
      </c>
      <c r="D15" s="17" t="inlineStr">
        <is>
          <t>Minor</t>
        </is>
      </c>
      <c r="E15" s="17" t="n"/>
      <c r="G15" s="17" t="inlineStr">
        <is>
          <t>Yes</t>
        </is>
      </c>
      <c r="I15" s="17" t="n"/>
      <c r="K15" s="17" t="n"/>
      <c r="L15" s="17" t="n"/>
      <c r="M15" s="17" t="n"/>
      <c r="N15" s="21" t="n"/>
      <c r="O15" s="21" t="n"/>
      <c r="P15" s="17" t="inlineStr">
        <is>
          <t>Blood Test</t>
        </is>
      </c>
      <c r="Q15" s="17" t="inlineStr">
        <is>
          <t>Blood Report</t>
        </is>
      </c>
      <c r="R15" s="9" t="inlineStr">
        <is>
          <t>≤ 34.0</t>
        </is>
      </c>
      <c r="S15" s="10" t="inlineStr">
        <is>
          <t>34.0 – 40.8</t>
        </is>
      </c>
      <c r="T15" s="11" t="inlineStr">
        <is>
          <t>40.8 – 59.5</t>
        </is>
      </c>
      <c r="U15" s="12" t="inlineStr">
        <is>
          <t>&gt; 59.5</t>
        </is>
      </c>
      <c r="V15" s="16" t="inlineStr">
        <is>
          <t>No</t>
        </is>
      </c>
      <c r="W15" s="16" t="inlineStr">
        <is>
          <t>No</t>
        </is>
      </c>
      <c r="X15" s="25" t="inlineStr">
        <is>
          <t>U</t>
        </is>
      </c>
    </row>
    <row r="16" ht="16" customHeight="1">
      <c r="A16" s="17" t="n">
        <v>15</v>
      </c>
      <c r="B16" s="17" t="inlineStr">
        <is>
          <t>Creatinine</t>
        </is>
      </c>
      <c r="C16" t="inlineStr">
        <is>
          <t>Kidney Filtration Marker</t>
        </is>
      </c>
      <c r="D16" s="17" t="inlineStr">
        <is>
          <t>Minor</t>
        </is>
      </c>
      <c r="E16" s="17" t="n"/>
      <c r="G16" s="17" t="n"/>
      <c r="I16" s="17" t="inlineStr">
        <is>
          <t>Yes</t>
        </is>
      </c>
      <c r="K16" s="17" t="n"/>
      <c r="L16" s="17" t="n"/>
      <c r="M16" s="17" t="n"/>
      <c r="N16" s="21" t="n"/>
      <c r="O16" s="21" t="n"/>
      <c r="P16" s="17" t="inlineStr">
        <is>
          <t>Blood Test</t>
        </is>
      </c>
      <c r="Q16" s="17" t="inlineStr">
        <is>
          <t>Blood Report</t>
        </is>
      </c>
      <c r="R16" s="9" t="inlineStr">
        <is>
          <t>0.55 – 1.02</t>
        </is>
      </c>
      <c r="S16" s="10" t="inlineStr">
        <is>
          <t>0.41 – 0.55  or  1.02 – 1.16</t>
        </is>
      </c>
      <c r="T16" s="11" t="inlineStr">
        <is>
          <t>0.08 – 0.41  or  1.16 – 1.49</t>
        </is>
      </c>
      <c r="U16" s="12" t="inlineStr">
        <is>
          <t>&lt; 0.08  or  &gt; 1.49</t>
        </is>
      </c>
      <c r="V16" s="13" t="inlineStr">
        <is>
          <t>Yes</t>
        </is>
      </c>
      <c r="W16" s="14" t="inlineStr">
        <is>
          <t>Yes</t>
        </is>
      </c>
      <c r="X16" s="25" t="inlineStr">
        <is>
          <t>U</t>
        </is>
      </c>
    </row>
    <row r="17" ht="16" customHeight="1">
      <c r="A17" s="17" t="n">
        <v>16</v>
      </c>
      <c r="B17" s="17" t="inlineStr">
        <is>
          <t>UA (Uric Acid)</t>
        </is>
      </c>
      <c r="C17" t="inlineStr">
        <is>
          <t>Uric Acid</t>
        </is>
      </c>
      <c r="D17" s="17" t="inlineStr">
        <is>
          <t>Minor</t>
        </is>
      </c>
      <c r="E17" s="17" t="n"/>
      <c r="G17" s="17" t="n"/>
      <c r="I17" s="17" t="inlineStr">
        <is>
          <t>Yes</t>
        </is>
      </c>
      <c r="K17" s="17" t="n"/>
      <c r="L17" s="17" t="n"/>
      <c r="M17" s="17" t="n"/>
      <c r="N17" s="21" t="n"/>
      <c r="O17" s="21" t="n"/>
      <c r="P17" s="17" t="inlineStr">
        <is>
          <t>Blood Test</t>
        </is>
      </c>
      <c r="Q17" s="17" t="inlineStr">
        <is>
          <t>Blood Report</t>
        </is>
      </c>
      <c r="R17" s="9" t="inlineStr">
        <is>
          <t>3.5 – 7.2</t>
        </is>
      </c>
      <c r="S17" s="10" t="inlineStr">
        <is>
          <t>2.39 – 3.5  or  7.2 – 8.31</t>
        </is>
      </c>
      <c r="T17" s="11" t="inlineStr">
        <is>
          <t>-0.2 – 2.39  or  8.31 – 10.9</t>
        </is>
      </c>
      <c r="U17" s="12" t="inlineStr">
        <is>
          <t>&lt; -0.2  or  &gt; 10.9</t>
        </is>
      </c>
      <c r="V17" s="16" t="inlineStr">
        <is>
          <t>No</t>
        </is>
      </c>
      <c r="W17" s="16" t="inlineStr">
        <is>
          <t>No</t>
        </is>
      </c>
      <c r="X17" s="25" t="inlineStr">
        <is>
          <t>U</t>
        </is>
      </c>
    </row>
    <row r="18" ht="16" customHeight="1">
      <c r="A18" s="17" t="n">
        <v>17</v>
      </c>
      <c r="B18" s="17" t="inlineStr">
        <is>
          <t>Basophils</t>
        </is>
      </c>
      <c r="C18" t="inlineStr">
        <is>
          <t>Allergy Response Cells</t>
        </is>
      </c>
      <c r="D18" s="17" t="inlineStr">
        <is>
          <t>Minor</t>
        </is>
      </c>
      <c r="E18" s="17" t="n"/>
      <c r="G18" s="17" t="n"/>
      <c r="I18" s="17" t="n"/>
      <c r="J18" t="inlineStr">
        <is>
          <t>Yes</t>
        </is>
      </c>
      <c r="K18" s="17" t="n"/>
      <c r="L18" s="17" t="n"/>
      <c r="M18" s="17" t="n"/>
      <c r="N18" s="21" t="n"/>
      <c r="O18" s="21" t="n"/>
      <c r="P18" s="17" t="inlineStr">
        <is>
          <t>Blood Test</t>
        </is>
      </c>
      <c r="Q18" s="17" t="inlineStr">
        <is>
          <t>Blood Report</t>
        </is>
      </c>
      <c r="R18" s="9" t="inlineStr">
        <is>
          <t>0.02 – 0.1</t>
        </is>
      </c>
      <c r="S18" s="10" t="inlineStr">
        <is>
          <t>-0.0 – 0.02  or  0.1 – 0.12</t>
        </is>
      </c>
      <c r="T18" s="11" t="inlineStr">
        <is>
          <t>-0.06 – -0.0  or  0.12 – 0.18</t>
        </is>
      </c>
      <c r="U18" s="12" t="inlineStr">
        <is>
          <t>&lt; -0.06  or  &gt; 0.18</t>
        </is>
      </c>
      <c r="V18" s="16" t="inlineStr">
        <is>
          <t>No</t>
        </is>
      </c>
      <c r="W18" s="16" t="inlineStr">
        <is>
          <t>No</t>
        </is>
      </c>
      <c r="X18" s="25" t="inlineStr">
        <is>
          <t>U</t>
        </is>
      </c>
      <c r="Y18">
        <f> Basophils - Count (count)</f>
        <v/>
      </c>
    </row>
    <row r="19" ht="16" customHeight="1">
      <c r="A19" s="17" t="n">
        <v>18</v>
      </c>
      <c r="B19" s="17" t="inlineStr">
        <is>
          <t>Monocytes</t>
        </is>
      </c>
      <c r="C19" t="inlineStr">
        <is>
          <t>Inflammation &amp; Repair</t>
        </is>
      </c>
      <c r="D19" s="17" t="inlineStr">
        <is>
          <t>Minor</t>
        </is>
      </c>
      <c r="E19" s="17" t="n"/>
      <c r="G19" s="17" t="n"/>
      <c r="I19" s="17" t="n"/>
      <c r="J19" t="inlineStr">
        <is>
          <t>Yes</t>
        </is>
      </c>
      <c r="K19" s="17" t="n"/>
      <c r="L19" s="17" t="n"/>
      <c r="M19" s="17" t="n"/>
      <c r="N19" s="21" t="n"/>
      <c r="O19" s="21" t="n"/>
      <c r="P19" s="17" t="inlineStr">
        <is>
          <t>Blood Test</t>
        </is>
      </c>
      <c r="Q19" s="17" t="inlineStr">
        <is>
          <t>Blood Report</t>
        </is>
      </c>
      <c r="R19" s="9" t="inlineStr">
        <is>
          <t>0.2 – 1.0</t>
        </is>
      </c>
      <c r="S19" s="10" t="inlineStr">
        <is>
          <t>-0.04 – 0.2  or  1.0 – 1.24</t>
        </is>
      </c>
      <c r="T19" s="11" t="inlineStr">
        <is>
          <t>-0.6 – -0.04  or  1.24 – 1.8</t>
        </is>
      </c>
      <c r="U19" s="12" t="inlineStr">
        <is>
          <t>&lt; -0.6  or  &gt; 1.8</t>
        </is>
      </c>
      <c r="V19" s="16" t="inlineStr">
        <is>
          <t>No</t>
        </is>
      </c>
      <c r="W19" s="16" t="inlineStr">
        <is>
          <t>No</t>
        </is>
      </c>
      <c r="X19" s="25" t="inlineStr">
        <is>
          <t>U</t>
        </is>
      </c>
      <c r="Y19">
        <f> Monocytes - Count (count)</f>
        <v/>
      </c>
    </row>
    <row r="20" ht="16" customHeight="1">
      <c r="A20" s="17" t="n">
        <v>19</v>
      </c>
      <c r="B20" s="17" t="inlineStr">
        <is>
          <t>Lymphocytes</t>
        </is>
      </c>
      <c r="C20" t="inlineStr">
        <is>
          <t>Viral Infection Defense</t>
        </is>
      </c>
      <c r="D20" s="17" t="inlineStr">
        <is>
          <t>Minor</t>
        </is>
      </c>
      <c r="E20" s="17" t="n"/>
      <c r="G20" s="17" t="n"/>
      <c r="I20" s="17" t="n"/>
      <c r="J20" t="inlineStr">
        <is>
          <t>Yes</t>
        </is>
      </c>
      <c r="K20" s="17" t="n"/>
      <c r="L20" s="17" t="n"/>
      <c r="M20" s="17" t="n"/>
      <c r="N20" s="21" t="n"/>
      <c r="O20" s="21" t="n"/>
      <c r="P20" s="17" t="inlineStr">
        <is>
          <t>Blood Test</t>
        </is>
      </c>
      <c r="Q20" s="17" t="inlineStr">
        <is>
          <t>Blood Report</t>
        </is>
      </c>
      <c r="R20" s="9" t="inlineStr">
        <is>
          <t>20.0 – 40.0</t>
        </is>
      </c>
      <c r="S20" s="10" t="inlineStr">
        <is>
          <t>14.0 – 20.0  or  40.0 – 46.0</t>
        </is>
      </c>
      <c r="T20" s="11" t="inlineStr">
        <is>
          <t>0.0 – 14.0  or  46.0 – 60.0</t>
        </is>
      </c>
      <c r="U20" s="12" t="inlineStr">
        <is>
          <t>&lt; 0.0  or  &gt; 60.0</t>
        </is>
      </c>
      <c r="V20" s="13" t="inlineStr">
        <is>
          <t>Yes</t>
        </is>
      </c>
      <c r="W20" s="14" t="inlineStr">
        <is>
          <t>Yes</t>
        </is>
      </c>
      <c r="X20" s="25" t="inlineStr">
        <is>
          <t>U</t>
        </is>
      </c>
      <c r="Y20">
        <f> Lymphocytes - Count (count)</f>
        <v/>
      </c>
    </row>
    <row r="21" ht="16" customHeight="1">
      <c r="A21" s="17" t="n">
        <v>20</v>
      </c>
      <c r="B21" s="17" t="inlineStr">
        <is>
          <t>Eosinophils</t>
        </is>
      </c>
      <c r="C21" t="inlineStr">
        <is>
          <t>Allergy &amp; Parasite Defense</t>
        </is>
      </c>
      <c r="D21" s="17" t="inlineStr">
        <is>
          <t>Minor</t>
        </is>
      </c>
      <c r="E21" s="17" t="n"/>
      <c r="G21" s="17" t="n"/>
      <c r="I21" s="17" t="n"/>
      <c r="J21" t="inlineStr">
        <is>
          <t>Yes</t>
        </is>
      </c>
      <c r="K21" s="17" t="n"/>
      <c r="L21" s="17" t="n"/>
      <c r="M21" s="17" t="n"/>
      <c r="N21" s="21" t="n"/>
      <c r="O21" s="21" t="n"/>
      <c r="P21" s="17" t="inlineStr">
        <is>
          <t>Blood Test</t>
        </is>
      </c>
      <c r="Q21" s="17" t="inlineStr">
        <is>
          <t>Blood Report</t>
        </is>
      </c>
      <c r="R21" s="9" t="inlineStr">
        <is>
          <t>0.02 – 0.5</t>
        </is>
      </c>
      <c r="S21" s="10" t="inlineStr">
        <is>
          <t>-0.12 – 0.02  or  0.5 – 0.64</t>
        </is>
      </c>
      <c r="T21" s="11" t="inlineStr">
        <is>
          <t>-0.46 – -0.12  or  0.64 – 0.98</t>
        </is>
      </c>
      <c r="U21" s="12" t="inlineStr">
        <is>
          <t>&lt; -0.46  or  &gt; 0.98</t>
        </is>
      </c>
      <c r="V21" s="16" t="inlineStr">
        <is>
          <t>No</t>
        </is>
      </c>
      <c r="W21" s="16" t="inlineStr">
        <is>
          <t>No</t>
        </is>
      </c>
      <c r="X21" s="25" t="inlineStr">
        <is>
          <t>U</t>
        </is>
      </c>
      <c r="Y21">
        <f> Eosinophils - Count (count)</f>
        <v/>
      </c>
    </row>
    <row r="22" ht="16" customHeight="1">
      <c r="A22" s="17" t="n">
        <v>21</v>
      </c>
      <c r="B22" s="17" t="inlineStr">
        <is>
          <t>Vitamin D</t>
        </is>
      </c>
      <c r="C22" t="inlineStr">
        <is>
          <t>Bone &amp; Immune Health</t>
        </is>
      </c>
      <c r="D22" s="17" t="inlineStr">
        <is>
          <t>Minor</t>
        </is>
      </c>
      <c r="E22" s="17" t="n"/>
      <c r="G22" s="17" t="n"/>
      <c r="I22" s="17" t="n"/>
      <c r="J22" t="inlineStr">
        <is>
          <t>Yes</t>
        </is>
      </c>
      <c r="K22" s="17" t="n"/>
      <c r="L22" s="17" t="n"/>
      <c r="M22" s="17" t="n"/>
      <c r="N22" s="21" t="n"/>
      <c r="O22" s="21" t="n"/>
      <c r="P22" s="17" t="inlineStr">
        <is>
          <t>Blood Test</t>
        </is>
      </c>
      <c r="Q22" s="17" t="inlineStr">
        <is>
          <t>Blood Report</t>
        </is>
      </c>
      <c r="R22" s="9" t="inlineStr">
        <is>
          <t>30.0 – 100.0</t>
        </is>
      </c>
      <c r="S22" s="10" t="inlineStr">
        <is>
          <t>9.0 – 30.0  or  100.0 – 121.0</t>
        </is>
      </c>
      <c r="T22" s="11" t="inlineStr">
        <is>
          <t>-40.0 – 9.0  or  121.0 – 170.0</t>
        </is>
      </c>
      <c r="U22" s="12" t="inlineStr">
        <is>
          <t>&lt; -40.0  or  &gt; 170.0</t>
        </is>
      </c>
      <c r="V22" s="16" t="inlineStr">
        <is>
          <t>No</t>
        </is>
      </c>
      <c r="W22" s="14" t="inlineStr">
        <is>
          <t>Yes</t>
        </is>
      </c>
      <c r="X22" s="25" t="inlineStr">
        <is>
          <t>U</t>
        </is>
      </c>
    </row>
    <row r="23" ht="16" customHeight="1">
      <c r="A23" s="17" t="n">
        <v>22</v>
      </c>
      <c r="B23" s="17" t="inlineStr">
        <is>
          <t>Copper</t>
        </is>
      </c>
      <c r="C23" t="inlineStr">
        <is>
          <t>Red Blood Cell Support</t>
        </is>
      </c>
      <c r="D23" s="17" t="inlineStr">
        <is>
          <t>Minor</t>
        </is>
      </c>
      <c r="E23" s="17" t="n"/>
      <c r="G23" s="17" t="n"/>
      <c r="I23" s="17" t="n"/>
      <c r="J23" t="inlineStr">
        <is>
          <t>Yes</t>
        </is>
      </c>
      <c r="K23" s="17" t="n"/>
      <c r="L23" s="17" t="n"/>
      <c r="M23" s="17" t="n"/>
      <c r="N23" s="21" t="n"/>
      <c r="O23" s="21" t="n"/>
      <c r="P23" s="17" t="inlineStr">
        <is>
          <t>Blood Test</t>
        </is>
      </c>
      <c r="Q23" s="17" t="inlineStr">
        <is>
          <t>Blood Report</t>
        </is>
      </c>
      <c r="R23" s="9" t="inlineStr">
        <is>
          <t>80.0 – 155.0</t>
        </is>
      </c>
      <c r="S23" s="10" t="inlineStr">
        <is>
          <t>57.5 – 80.0  or  155.0 – 177.5</t>
        </is>
      </c>
      <c r="T23" s="11" t="inlineStr">
        <is>
          <t>5.0 – 57.5  or  177.5 – 230.0</t>
        </is>
      </c>
      <c r="U23" s="12" t="inlineStr">
        <is>
          <t>&lt; 5.0  or  &gt; 230.0</t>
        </is>
      </c>
      <c r="V23" s="16" t="inlineStr">
        <is>
          <t>No</t>
        </is>
      </c>
      <c r="W23" s="16" t="inlineStr">
        <is>
          <t>No</t>
        </is>
      </c>
      <c r="X23" s="25" t="inlineStr">
        <is>
          <t>U</t>
        </is>
      </c>
    </row>
    <row r="24" ht="16" customHeight="1">
      <c r="A24" s="17" t="n">
        <v>23</v>
      </c>
      <c r="B24" s="17" t="inlineStr">
        <is>
          <t>Cortisol</t>
        </is>
      </c>
      <c r="C24" t="inlineStr">
        <is>
          <t>Stress Hormone</t>
        </is>
      </c>
      <c r="D24" s="17" t="inlineStr">
        <is>
          <t>Minor</t>
        </is>
      </c>
      <c r="E24" s="17" t="n"/>
      <c r="F24" t="inlineStr">
        <is>
          <t>Yes</t>
        </is>
      </c>
      <c r="G24" s="17" t="n"/>
      <c r="I24" s="17" t="n"/>
      <c r="K24" s="17" t="n"/>
      <c r="L24" s="17" t="n"/>
      <c r="M24" s="17" t="n"/>
      <c r="N24" s="21" t="n"/>
      <c r="O24" s="21" t="n"/>
      <c r="P24" s="17" t="inlineStr">
        <is>
          <t>Blood Test</t>
        </is>
      </c>
      <c r="Q24" s="17" t="inlineStr">
        <is>
          <t>Blood Report</t>
        </is>
      </c>
      <c r="R24" s="9" t="inlineStr">
        <is>
          <t>5.0 – 23.0</t>
        </is>
      </c>
      <c r="S24" s="10" t="inlineStr">
        <is>
          <t>-0.4 – 5.0  or  23.0 – 28.4</t>
        </is>
      </c>
      <c r="T24" s="11" t="inlineStr">
        <is>
          <t>-13.0 – -0.4  or  28.4 – 41.0</t>
        </is>
      </c>
      <c r="U24" s="12" t="inlineStr">
        <is>
          <t>&lt; -13.0  or  &gt; 41.0</t>
        </is>
      </c>
      <c r="V24" s="16" t="inlineStr">
        <is>
          <t>No</t>
        </is>
      </c>
      <c r="W24" s="14" t="inlineStr">
        <is>
          <t>Yes</t>
        </is>
      </c>
      <c r="X24" s="25" t="inlineStr">
        <is>
          <t>U</t>
        </is>
      </c>
    </row>
    <row r="25" ht="16" customHeight="1">
      <c r="A25" s="17" t="n">
        <v>24</v>
      </c>
      <c r="B25" s="17" t="inlineStr">
        <is>
          <t>Folate (B9)</t>
        </is>
      </c>
      <c r="C25" t="inlineStr">
        <is>
          <t>Cell Growth &amp; Repair</t>
        </is>
      </c>
      <c r="D25" s="17" t="inlineStr">
        <is>
          <t>Minor</t>
        </is>
      </c>
      <c r="E25" s="17" t="n"/>
      <c r="G25" s="17" t="n"/>
      <c r="I25" s="17" t="n"/>
      <c r="J25" t="inlineStr">
        <is>
          <t>Yes</t>
        </is>
      </c>
      <c r="K25" s="17" t="n"/>
      <c r="L25" s="17" t="n"/>
      <c r="M25" s="17" t="n"/>
      <c r="N25" s="21" t="n"/>
      <c r="O25" s="21" t="n"/>
      <c r="P25" s="17" t="inlineStr">
        <is>
          <t>Blood Test</t>
        </is>
      </c>
      <c r="Q25" s="17" t="inlineStr">
        <is>
          <t>Blood Report</t>
        </is>
      </c>
      <c r="R25" s="9" t="inlineStr">
        <is>
          <t>≥ 5.38</t>
        </is>
      </c>
      <c r="S25" s="10" t="inlineStr">
        <is>
          <t>4.3 – 5.38</t>
        </is>
      </c>
      <c r="T25" s="11" t="inlineStr">
        <is>
          <t>2.69 – 4.3</t>
        </is>
      </c>
      <c r="U25" s="12" t="inlineStr">
        <is>
          <t>&lt; 2.69</t>
        </is>
      </c>
      <c r="V25" s="16" t="inlineStr">
        <is>
          <t>No</t>
        </is>
      </c>
      <c r="W25" s="16" t="inlineStr">
        <is>
          <t>No</t>
        </is>
      </c>
      <c r="X25" s="25" t="inlineStr">
        <is>
          <t>U</t>
        </is>
      </c>
    </row>
    <row r="26" ht="16" customHeight="1">
      <c r="A26" s="17" t="n">
        <v>25</v>
      </c>
      <c r="B26" s="17" t="inlineStr">
        <is>
          <t>DHEA</t>
        </is>
      </c>
      <c r="C26" t="inlineStr">
        <is>
          <t>Neurosteroid &amp; Cognitive Health</t>
        </is>
      </c>
      <c r="D26" s="17" t="inlineStr">
        <is>
          <t>Minor</t>
        </is>
      </c>
      <c r="E26" s="17" t="n"/>
      <c r="F26" t="inlineStr">
        <is>
          <t>Yes</t>
        </is>
      </c>
      <c r="G26" s="17" t="n"/>
      <c r="I26" s="17" t="n"/>
      <c r="K26" s="17" t="n"/>
      <c r="L26" s="17" t="n"/>
      <c r="M26" s="17" t="n"/>
      <c r="N26" s="21" t="n"/>
      <c r="O26" s="21" t="n"/>
      <c r="P26" s="17" t="inlineStr">
        <is>
          <t>Blood Test</t>
        </is>
      </c>
      <c r="Q26" s="17" t="inlineStr">
        <is>
          <t>Blood Report</t>
        </is>
      </c>
      <c r="R26" s="9" t="inlineStr">
        <is>
          <t>106.0 – 464.0</t>
        </is>
      </c>
      <c r="S26" s="10" t="inlineStr">
        <is>
          <t>-1.4 – 106.0  or  464.0 – 571.4</t>
        </is>
      </c>
      <c r="T26" s="11" t="inlineStr">
        <is>
          <t>-252.0 – -1.4  or  571.4 – 822.0</t>
        </is>
      </c>
      <c r="U26" s="12" t="inlineStr">
        <is>
          <t>&lt; -252.0  or  &gt; 822.0</t>
        </is>
      </c>
      <c r="V26" s="16" t="inlineStr">
        <is>
          <t>No</t>
        </is>
      </c>
      <c r="W26" s="14" t="inlineStr">
        <is>
          <t>Yes</t>
        </is>
      </c>
      <c r="X26" s="25" t="inlineStr">
        <is>
          <t>U</t>
        </is>
      </c>
    </row>
    <row r="27" ht="16" customHeight="1">
      <c r="A27" s="17" t="n">
        <v>26</v>
      </c>
      <c r="B27" s="17" t="inlineStr">
        <is>
          <t>IgE</t>
        </is>
      </c>
      <c r="C27" t="inlineStr">
        <is>
          <t>Immune Response &amp; Allergies</t>
        </is>
      </c>
      <c r="D27" s="17" t="inlineStr">
        <is>
          <t>Minor</t>
        </is>
      </c>
      <c r="E27" s="17" t="n"/>
      <c r="G27" s="17" t="n"/>
      <c r="I27" s="17" t="n"/>
      <c r="J27" t="inlineStr">
        <is>
          <t>Yes</t>
        </is>
      </c>
      <c r="K27" s="17" t="n"/>
      <c r="L27" s="17" t="n"/>
      <c r="M27" s="17" t="n"/>
      <c r="N27" s="21" t="n"/>
      <c r="O27" s="21" t="n"/>
      <c r="P27" s="17" t="inlineStr">
        <is>
          <t>Blood Test</t>
        </is>
      </c>
      <c r="Q27" s="17" t="inlineStr">
        <is>
          <t>Blood Report</t>
        </is>
      </c>
      <c r="R27" s="9" t="inlineStr">
        <is>
          <t>≤ 158.0</t>
        </is>
      </c>
      <c r="S27" s="10" t="inlineStr">
        <is>
          <t>158.0 – 189.6</t>
        </is>
      </c>
      <c r="T27" s="11" t="inlineStr">
        <is>
          <t>189.6 – 276.5</t>
        </is>
      </c>
      <c r="U27" s="12" t="inlineStr">
        <is>
          <t>&gt; 276.5</t>
        </is>
      </c>
      <c r="V27" s="16" t="inlineStr">
        <is>
          <t>No</t>
        </is>
      </c>
      <c r="W27" s="16" t="inlineStr">
        <is>
          <t>No</t>
        </is>
      </c>
      <c r="X27" s="25" t="inlineStr">
        <is>
          <t>U</t>
        </is>
      </c>
    </row>
    <row r="28" ht="16" customHeight="1">
      <c r="A28" s="17" t="n">
        <v>27</v>
      </c>
      <c r="B28" s="17" t="inlineStr">
        <is>
          <t>VLDL Cholesterol</t>
        </is>
      </c>
      <c r="C28" t="inlineStr">
        <is>
          <t>Triglyceride Transporter</t>
        </is>
      </c>
      <c r="D28" s="17" t="inlineStr">
        <is>
          <t>Minor</t>
        </is>
      </c>
      <c r="E28" s="17" t="inlineStr">
        <is>
          <t>Yes</t>
        </is>
      </c>
      <c r="G28" s="17" t="n"/>
      <c r="I28" s="17" t="n"/>
      <c r="K28" s="17" t="n"/>
      <c r="L28" s="17" t="n"/>
      <c r="M28" s="17" t="n"/>
      <c r="N28" s="21" t="n"/>
      <c r="O28" s="21" t="n"/>
      <c r="P28" s="17" t="inlineStr">
        <is>
          <t>Blood Test</t>
        </is>
      </c>
      <c r="Q28" s="17" t="inlineStr">
        <is>
          <t>Blood Report</t>
        </is>
      </c>
      <c r="R28" s="9" t="inlineStr">
        <is>
          <t>5.0 – 40.0</t>
        </is>
      </c>
      <c r="S28" s="10" t="inlineStr">
        <is>
          <t>-5.5 – 5.0  or  40.0 – 50.5</t>
        </is>
      </c>
      <c r="T28" s="11" t="inlineStr">
        <is>
          <t>-30.0 – -5.5  or  50.5 – 75.0</t>
        </is>
      </c>
      <c r="U28" s="12" t="inlineStr">
        <is>
          <t>&lt; -30.0  or  &gt; 75.0</t>
        </is>
      </c>
      <c r="V28" s="16" t="inlineStr">
        <is>
          <t>No</t>
        </is>
      </c>
      <c r="W28" s="16" t="inlineStr">
        <is>
          <t>No</t>
        </is>
      </c>
      <c r="X28" s="25" t="inlineStr">
        <is>
          <t>U</t>
        </is>
      </c>
    </row>
    <row r="29" ht="16" customHeight="1">
      <c r="A29" s="17" t="n">
        <v>28</v>
      </c>
      <c r="B29" s="17" t="inlineStr">
        <is>
          <t>Triglycerides / HDL</t>
        </is>
      </c>
      <c r="C29" t="inlineStr">
        <is>
          <t>Metabolic Health Marker</t>
        </is>
      </c>
      <c r="D29" s="17" t="inlineStr">
        <is>
          <t>Minor</t>
        </is>
      </c>
      <c r="E29" s="17" t="inlineStr">
        <is>
          <t>Yes</t>
        </is>
      </c>
      <c r="G29" s="17" t="n"/>
      <c r="I29" s="17" t="n"/>
      <c r="K29" s="17" t="n"/>
      <c r="L29" s="17" t="n"/>
      <c r="M29" s="17" t="n"/>
      <c r="N29" s="21" t="n"/>
      <c r="O29" s="21" t="n"/>
      <c r="P29" s="17" t="inlineStr">
        <is>
          <t>Blood Test</t>
        </is>
      </c>
      <c r="Q29" s="17" t="inlineStr">
        <is>
          <t>Blood Report</t>
        </is>
      </c>
      <c r="R29" s="9" t="inlineStr">
        <is>
          <t>≤ 3.12</t>
        </is>
      </c>
      <c r="S29" s="10" t="inlineStr">
        <is>
          <t>3.12 – 3.74</t>
        </is>
      </c>
      <c r="T29" s="11" t="inlineStr">
        <is>
          <t>3.74 – 5.46</t>
        </is>
      </c>
      <c r="U29" s="12" t="inlineStr">
        <is>
          <t>&gt; 5.46</t>
        </is>
      </c>
      <c r="V29" s="16" t="inlineStr">
        <is>
          <t>No</t>
        </is>
      </c>
      <c r="W29" s="14" t="inlineStr">
        <is>
          <t>Yes</t>
        </is>
      </c>
      <c r="X29" s="25" t="inlineStr">
        <is>
          <t>U</t>
        </is>
      </c>
    </row>
    <row r="30" ht="16" customHeight="1">
      <c r="A30" s="17" t="n">
        <v>29</v>
      </c>
      <c r="B30" s="17" t="inlineStr">
        <is>
          <t>Total Cholesterol / HDL</t>
        </is>
      </c>
      <c r="C30" t="inlineStr">
        <is>
          <t>Heart Risk Indicator</t>
        </is>
      </c>
      <c r="D30" s="17" t="inlineStr">
        <is>
          <t>Minor</t>
        </is>
      </c>
      <c r="E30" s="17" t="inlineStr">
        <is>
          <t>Yes</t>
        </is>
      </c>
      <c r="G30" s="17" t="n"/>
      <c r="I30" s="17" t="n"/>
      <c r="K30" s="17" t="n"/>
      <c r="L30" s="17" t="n"/>
      <c r="M30" s="17" t="n"/>
      <c r="N30" s="21" t="n"/>
      <c r="O30" s="21" t="n"/>
      <c r="P30" s="17" t="inlineStr">
        <is>
          <t>Blood Test</t>
        </is>
      </c>
      <c r="Q30" s="17" t="inlineStr">
        <is>
          <t>Blood Report</t>
        </is>
      </c>
      <c r="R30" s="9" t="inlineStr">
        <is>
          <t>3.0 – 5.0</t>
        </is>
      </c>
      <c r="S30" s="10" t="inlineStr">
        <is>
          <t>2.4 – 3.0  or  5.0 – 5.6</t>
        </is>
      </c>
      <c r="T30" s="11" t="inlineStr">
        <is>
          <t>1.0 – 2.4  or  5.6 – 7.0</t>
        </is>
      </c>
      <c r="U30" s="12" t="inlineStr">
        <is>
          <t>&lt; 1.0  or  &gt; 7.0</t>
        </is>
      </c>
      <c r="V30" s="16" t="inlineStr">
        <is>
          <t>No</t>
        </is>
      </c>
      <c r="W30" s="16" t="inlineStr">
        <is>
          <t>No</t>
        </is>
      </c>
      <c r="X30" s="25" t="inlineStr">
        <is>
          <t>U</t>
        </is>
      </c>
    </row>
    <row r="31" ht="16" customHeight="1">
      <c r="A31" s="17" t="n">
        <v>30</v>
      </c>
      <c r="B31" s="17" t="inlineStr">
        <is>
          <t>HDL/LDL Ratio</t>
        </is>
      </c>
      <c r="C31" t="inlineStr">
        <is>
          <t>Cholesterol Risk Indicator</t>
        </is>
      </c>
      <c r="D31" s="17" t="inlineStr">
        <is>
          <t>Minor</t>
        </is>
      </c>
      <c r="E31" s="17" t="inlineStr">
        <is>
          <t>Yes</t>
        </is>
      </c>
      <c r="G31" s="17" t="n"/>
      <c r="I31" s="17" t="n"/>
      <c r="K31" s="17" t="n"/>
      <c r="L31" s="17" t="n"/>
      <c r="M31" s="17" t="n"/>
      <c r="N31" s="21" t="n"/>
      <c r="O31" s="21" t="n"/>
      <c r="P31" s="17" t="inlineStr">
        <is>
          <t>Blood Test</t>
        </is>
      </c>
      <c r="Q31" s="17" t="inlineStr">
        <is>
          <t>Blood Report</t>
        </is>
      </c>
      <c r="R31" s="9" t="inlineStr">
        <is>
          <t>≥ 0.4</t>
        </is>
      </c>
      <c r="S31" s="10" t="inlineStr">
        <is>
          <t>0.32 – 0.4</t>
        </is>
      </c>
      <c r="T31" s="11" t="inlineStr">
        <is>
          <t>0.2 – 0.32</t>
        </is>
      </c>
      <c r="U31" s="12" t="inlineStr">
        <is>
          <t>&lt; 0.2</t>
        </is>
      </c>
      <c r="V31" s="16" t="inlineStr">
        <is>
          <t>No</t>
        </is>
      </c>
      <c r="W31" s="16" t="inlineStr">
        <is>
          <t>No</t>
        </is>
      </c>
      <c r="X31" s="25" t="inlineStr">
        <is>
          <t>U</t>
        </is>
      </c>
    </row>
    <row r="32" ht="16" customHeight="1">
      <c r="A32" s="17" t="n">
        <v>31</v>
      </c>
      <c r="B32" s="17" t="inlineStr">
        <is>
          <t>Android:Gynoid Ratio</t>
        </is>
      </c>
      <c r="C32" t="inlineStr">
        <is>
          <t>Central : Hip Fat Ratio</t>
        </is>
      </c>
      <c r="D32" s="17" t="inlineStr">
        <is>
          <t>Minor</t>
        </is>
      </c>
      <c r="E32" s="17" t="n"/>
      <c r="F32" t="inlineStr">
        <is>
          <t>Yes</t>
        </is>
      </c>
      <c r="G32" s="17" t="n"/>
      <c r="I32" s="17" t="n"/>
      <c r="K32" s="17" t="n"/>
      <c r="L32" s="17" t="n"/>
      <c r="M32" s="17" t="n"/>
      <c r="N32" s="21" t="n"/>
      <c r="O32" s="21" t="n"/>
      <c r="P32" s="17" t="inlineStr">
        <is>
          <t>DEXA Scan</t>
        </is>
      </c>
      <c r="Q32" s="17" t="inlineStr">
        <is>
          <t>DEXA Report</t>
        </is>
      </c>
      <c r="R32" s="9" t="inlineStr">
        <is>
          <t>≤ 0.8</t>
        </is>
      </c>
      <c r="S32" s="10" t="inlineStr">
        <is>
          <t>0.8 – 0.96</t>
        </is>
      </c>
      <c r="T32" s="11" t="inlineStr">
        <is>
          <t>0.96 – 1.4</t>
        </is>
      </c>
      <c r="U32" s="12" t="inlineStr">
        <is>
          <t>&gt; 1.4</t>
        </is>
      </c>
      <c r="V32" s="16" t="inlineStr">
        <is>
          <t>No</t>
        </is>
      </c>
      <c r="W32" s="16" t="inlineStr">
        <is>
          <t>No</t>
        </is>
      </c>
      <c r="X32" s="25" t="inlineStr">
        <is>
          <t>U</t>
        </is>
      </c>
    </row>
    <row r="33" ht="16" customHeight="1">
      <c r="A33" s="17" t="n">
        <v>32</v>
      </c>
      <c r="B33" s="17" t="inlineStr">
        <is>
          <t>Android Fat</t>
        </is>
      </c>
      <c r="C33" t="inlineStr">
        <is>
          <t>Abdominal Fat (DEXA)</t>
        </is>
      </c>
      <c r="D33" s="17" t="inlineStr">
        <is>
          <t>Minor</t>
        </is>
      </c>
      <c r="E33" s="17" t="n"/>
      <c r="F33" t="inlineStr">
        <is>
          <t>Yes</t>
        </is>
      </c>
      <c r="G33" s="17" t="n"/>
      <c r="I33" s="17" t="n"/>
      <c r="K33" s="17" t="n"/>
      <c r="L33" s="17" t="n"/>
      <c r="M33" s="17" t="n"/>
      <c r="N33" s="21" t="n"/>
      <c r="O33" s="21" t="n"/>
      <c r="P33" s="17" t="inlineStr">
        <is>
          <t>DEXA Scan</t>
        </is>
      </c>
      <c r="Q33" s="17" t="inlineStr">
        <is>
          <t>DEXA Report</t>
        </is>
      </c>
      <c r="R33" s="9" t="inlineStr">
        <is>
          <t>≤ 35.0</t>
        </is>
      </c>
      <c r="S33" s="10" t="inlineStr">
        <is>
          <t>35.0 – 42.0</t>
        </is>
      </c>
      <c r="T33" s="11" t="inlineStr">
        <is>
          <t>42.0 – 61.25</t>
        </is>
      </c>
      <c r="U33" s="12" t="inlineStr">
        <is>
          <t>&gt; 61.25</t>
        </is>
      </c>
      <c r="V33" s="16" t="inlineStr">
        <is>
          <t>No</t>
        </is>
      </c>
      <c r="W33" s="16" t="inlineStr">
        <is>
          <t>No</t>
        </is>
      </c>
      <c r="X33" s="25" t="inlineStr">
        <is>
          <t>U</t>
        </is>
      </c>
    </row>
    <row r="34" ht="16" customHeight="1">
      <c r="A34" s="17" t="n">
        <v>33</v>
      </c>
      <c r="B34" s="17" t="inlineStr">
        <is>
          <t>BMI</t>
        </is>
      </c>
      <c r="C34" t="inlineStr">
        <is>
          <t>Body Mass Index</t>
        </is>
      </c>
      <c r="D34" s="17" t="inlineStr">
        <is>
          <t>Minor</t>
        </is>
      </c>
      <c r="E34" s="17" t="n"/>
      <c r="F34" t="inlineStr">
        <is>
          <t>Yes</t>
        </is>
      </c>
      <c r="G34" s="17" t="n"/>
      <c r="I34" s="17" t="n"/>
      <c r="K34" s="17" t="n"/>
      <c r="L34" s="17" t="n"/>
      <c r="M34" s="17" t="n"/>
      <c r="N34" s="21" t="n"/>
      <c r="O34" s="21" t="n"/>
      <c r="P34" s="17" t="inlineStr">
        <is>
          <t>DEXA Scan</t>
        </is>
      </c>
      <c r="Q34" s="17" t="inlineStr">
        <is>
          <t>DEXA Report</t>
        </is>
      </c>
      <c r="R34" s="9" t="inlineStr">
        <is>
          <t>18.5 – 24.9</t>
        </is>
      </c>
      <c r="S34" s="10" t="inlineStr">
        <is>
          <t>16.58 – 18.5  or  24.9 – 26.82</t>
        </is>
      </c>
      <c r="T34" s="11" t="inlineStr">
        <is>
          <t>12.1 – 16.58  or  26.82 – 31.3</t>
        </is>
      </c>
      <c r="U34" s="12" t="inlineStr">
        <is>
          <t>&lt; 12.1  or  &gt; 31.3</t>
        </is>
      </c>
      <c r="V34" s="13" t="inlineStr">
        <is>
          <t>Yes</t>
        </is>
      </c>
      <c r="W34" s="16" t="inlineStr">
        <is>
          <t>No</t>
        </is>
      </c>
      <c r="X34" s="25" t="inlineStr">
        <is>
          <t>U</t>
        </is>
      </c>
    </row>
    <row r="35" ht="16" customHeight="1">
      <c r="A35" s="17" t="n">
        <v>34</v>
      </c>
      <c r="B35" s="17" t="inlineStr">
        <is>
          <t>Body Fat</t>
        </is>
      </c>
      <c r="C35" t="inlineStr">
        <is>
          <t>Total Body Fat %</t>
        </is>
      </c>
      <c r="D35" s="17" t="inlineStr">
        <is>
          <t>Minor</t>
        </is>
      </c>
      <c r="E35" s="17" t="n"/>
      <c r="F35" t="inlineStr">
        <is>
          <t>Yes</t>
        </is>
      </c>
      <c r="G35" s="17" t="n"/>
      <c r="I35" s="17" t="n"/>
      <c r="K35" s="17" t="n"/>
      <c r="L35" s="17" t="n"/>
      <c r="M35" s="17" t="n"/>
      <c r="N35" s="21" t="n"/>
      <c r="O35" s="21" t="n"/>
      <c r="P35" s="17" t="inlineStr">
        <is>
          <t>DEXA Scan</t>
        </is>
      </c>
      <c r="Q35" s="17" t="inlineStr">
        <is>
          <t>DEXA Report</t>
        </is>
      </c>
      <c r="R35" s="9" t="inlineStr">
        <is>
          <t>≤ 25.0</t>
        </is>
      </c>
      <c r="S35" s="10" t="inlineStr">
        <is>
          <t>25.0 – 30.0</t>
        </is>
      </c>
      <c r="T35" s="11" t="inlineStr">
        <is>
          <t>30.0 – 43.75</t>
        </is>
      </c>
      <c r="U35" s="12" t="inlineStr">
        <is>
          <t>&gt; 43.75</t>
        </is>
      </c>
      <c r="V35" s="13" t="inlineStr">
        <is>
          <t>Yes</t>
        </is>
      </c>
      <c r="W35" s="16" t="inlineStr">
        <is>
          <t>No</t>
        </is>
      </c>
      <c r="X35" s="25" t="inlineStr">
        <is>
          <t>U</t>
        </is>
      </c>
    </row>
    <row r="36" ht="16" customHeight="1">
      <c r="A36" s="17" t="n">
        <v>35</v>
      </c>
      <c r="B36" s="17" t="inlineStr">
        <is>
          <t>Abdominal wall</t>
        </is>
      </c>
      <c r="C36" t="inlineStr">
        <is>
          <t>USG: Abdominal Wall</t>
        </is>
      </c>
      <c r="D36" s="17" t="inlineStr">
        <is>
          <t>Minor</t>
        </is>
      </c>
      <c r="E36" s="17" t="n"/>
      <c r="G36" s="17" t="inlineStr">
        <is>
          <t>Yes</t>
        </is>
      </c>
      <c r="I36" s="17" t="n"/>
      <c r="K36" s="17" t="n"/>
      <c r="L36" s="17" t="n"/>
      <c r="M36" s="17" t="n"/>
      <c r="N36" s="21" t="n"/>
      <c r="O36" s="21" t="n"/>
      <c r="P36" s="17" t="inlineStr">
        <is>
          <t>USG</t>
        </is>
      </c>
      <c r="Q36" s="17" t="inlineStr">
        <is>
          <t>Scan Findings (USG)</t>
        </is>
      </c>
      <c r="R36" s="9" t="inlineStr">
        <is>
          <t>Normal</t>
        </is>
      </c>
      <c r="S36" s="10" t="inlineStr">
        <is>
          <t>Any positive finding</t>
        </is>
      </c>
      <c r="T36" s="11" t="inlineStr">
        <is>
          <t>Significant finding</t>
        </is>
      </c>
      <c r="U36" s="12" t="inlineStr">
        <is>
          <t>Severe finding</t>
        </is>
      </c>
      <c r="V36" s="16" t="inlineStr">
        <is>
          <t>No</t>
        </is>
      </c>
      <c r="W36" s="16" t="inlineStr">
        <is>
          <t>No</t>
        </is>
      </c>
      <c r="X36" s="25" t="inlineStr">
        <is>
          <t>U</t>
        </is>
      </c>
    </row>
    <row r="37" ht="16" customHeight="1">
      <c r="A37" s="17" t="n">
        <v>36</v>
      </c>
      <c r="B37" s="17" t="inlineStr">
        <is>
          <t>Urinary Bladder Walls</t>
        </is>
      </c>
      <c r="C37" t="inlineStr">
        <is>
          <t>USG: Bladder Wall</t>
        </is>
      </c>
      <c r="D37" s="17" t="inlineStr">
        <is>
          <t>Minor</t>
        </is>
      </c>
      <c r="E37" s="17" t="n"/>
      <c r="G37" s="17" t="n"/>
      <c r="I37" s="17" t="inlineStr">
        <is>
          <t>Yes</t>
        </is>
      </c>
      <c r="K37" s="17" t="n"/>
      <c r="L37" s="17" t="n"/>
      <c r="M37" s="17" t="n"/>
      <c r="N37" s="21" t="n"/>
      <c r="O37" s="21" t="n"/>
      <c r="P37" s="17" t="inlineStr">
        <is>
          <t>USG</t>
        </is>
      </c>
      <c r="Q37" s="17" t="inlineStr">
        <is>
          <t>Scan Findings (USG)</t>
        </is>
      </c>
      <c r="R37" s="9" t="inlineStr">
        <is>
          <t>Normal</t>
        </is>
      </c>
      <c r="S37" s="10" t="inlineStr">
        <is>
          <t>Any positive finding</t>
        </is>
      </c>
      <c r="T37" s="11" t="inlineStr">
        <is>
          <t>Significant finding</t>
        </is>
      </c>
      <c r="U37" s="12" t="inlineStr">
        <is>
          <t>Severe finding</t>
        </is>
      </c>
      <c r="V37" s="16" t="inlineStr">
        <is>
          <t>No</t>
        </is>
      </c>
      <c r="W37" s="16" t="inlineStr">
        <is>
          <t>No</t>
        </is>
      </c>
      <c r="X37" s="25" t="inlineStr">
        <is>
          <t>U</t>
        </is>
      </c>
    </row>
    <row r="38" ht="16" customHeight="1">
      <c r="A38" s="17" t="n">
        <v>37</v>
      </c>
      <c r="B38" s="17" t="inlineStr">
        <is>
          <t>Neck Lymphnodes</t>
        </is>
      </c>
      <c r="C38" t="inlineStr">
        <is>
          <t>USG: Neck Lymph Nodes</t>
        </is>
      </c>
      <c r="D38" s="17" t="inlineStr">
        <is>
          <t>Minor</t>
        </is>
      </c>
      <c r="E38" s="17" t="n"/>
      <c r="G38" s="17" t="n"/>
      <c r="I38" s="17" t="n"/>
      <c r="J38" t="inlineStr">
        <is>
          <t>Yes</t>
        </is>
      </c>
      <c r="K38" s="17" t="n"/>
      <c r="L38" s="17" t="n"/>
      <c r="M38" s="17" t="n"/>
      <c r="N38" s="21" t="n"/>
      <c r="O38" s="21" t="n"/>
      <c r="P38" s="17" t="inlineStr">
        <is>
          <t>USG</t>
        </is>
      </c>
      <c r="Q38" s="17" t="inlineStr">
        <is>
          <t>Scan Findings (USG)</t>
        </is>
      </c>
      <c r="R38" s="9" t="inlineStr">
        <is>
          <t>Normal</t>
        </is>
      </c>
      <c r="S38" s="10" t="inlineStr">
        <is>
          <t>Any positive finding</t>
        </is>
      </c>
      <c r="T38" s="11" t="inlineStr">
        <is>
          <t>Significant finding</t>
        </is>
      </c>
      <c r="U38" s="12" t="inlineStr">
        <is>
          <t>Severe finding</t>
        </is>
      </c>
      <c r="V38" s="16" t="inlineStr">
        <is>
          <t>No</t>
        </is>
      </c>
      <c r="W38" s="16" t="inlineStr">
        <is>
          <t>No</t>
        </is>
      </c>
      <c r="X38" s="25" t="inlineStr">
        <is>
          <t>U</t>
        </is>
      </c>
    </row>
    <row r="39" ht="16" customHeight="1">
      <c r="A39" s="17" t="n">
        <v>38</v>
      </c>
      <c r="B39" s="17" t="inlineStr">
        <is>
          <t>Cerebral white matter</t>
        </is>
      </c>
      <c r="C39" t="inlineStr">
        <is>
          <t>MRI: Cerebral White Matter</t>
        </is>
      </c>
      <c r="D39" s="17" t="inlineStr">
        <is>
          <t>Minor</t>
        </is>
      </c>
      <c r="E39" s="17" t="n"/>
      <c r="G39" s="17" t="n"/>
      <c r="H39" t="inlineStr">
        <is>
          <t>Yes</t>
        </is>
      </c>
      <c r="I39" s="17" t="n"/>
      <c r="K39" s="17" t="n"/>
      <c r="L39" s="17" t="n"/>
      <c r="M39" s="17" t="n"/>
      <c r="N39" s="21" t="n"/>
      <c r="O39" s="21" t="n"/>
      <c r="P39" s="17" t="inlineStr">
        <is>
          <t>MRI</t>
        </is>
      </c>
      <c r="Q39" s="17" t="inlineStr">
        <is>
          <t>MRI Report</t>
        </is>
      </c>
      <c r="R39" s="9" t="inlineStr">
        <is>
          <t>Normal</t>
        </is>
      </c>
      <c r="S39" s="10" t="inlineStr">
        <is>
          <t>Any positive finding</t>
        </is>
      </c>
      <c r="T39" s="11" t="inlineStr">
        <is>
          <t>Significant finding</t>
        </is>
      </c>
      <c r="U39" s="12" t="inlineStr">
        <is>
          <t>Severe finding</t>
        </is>
      </c>
      <c r="V39" s="16" t="inlineStr">
        <is>
          <t>No</t>
        </is>
      </c>
      <c r="W39" s="16" t="inlineStr">
        <is>
          <t>No</t>
        </is>
      </c>
      <c r="X39" s="25" t="inlineStr">
        <is>
          <t>U</t>
        </is>
      </c>
    </row>
    <row r="40" ht="16" customHeight="1">
      <c r="A40" s="17" t="n">
        <v>39</v>
      </c>
      <c r="B40" s="17" t="inlineStr">
        <is>
          <t>Spine: Discs</t>
        </is>
      </c>
      <c r="C40" t="inlineStr">
        <is>
          <t>MRI Spine: Discs</t>
        </is>
      </c>
      <c r="D40" s="17" t="inlineStr">
        <is>
          <t>Minor</t>
        </is>
      </c>
      <c r="E40" s="17" t="n"/>
      <c r="G40" s="17" t="n"/>
      <c r="I40" s="17" t="n"/>
      <c r="K40" s="17" t="inlineStr">
        <is>
          <t>Yes</t>
        </is>
      </c>
      <c r="L40" s="17" t="n"/>
      <c r="M40" s="17" t="n"/>
      <c r="N40" s="21" t="n"/>
      <c r="O40" s="21" t="n"/>
      <c r="P40" s="17" t="inlineStr">
        <is>
          <t>MRI</t>
        </is>
      </c>
      <c r="Q40" s="17" t="inlineStr">
        <is>
          <t>MRI Report</t>
        </is>
      </c>
      <c r="R40" s="9" t="inlineStr">
        <is>
          <t>Normal</t>
        </is>
      </c>
      <c r="S40" s="10" t="inlineStr">
        <is>
          <t>Any positive finding</t>
        </is>
      </c>
      <c r="T40" s="11" t="inlineStr">
        <is>
          <t>Significant finding</t>
        </is>
      </c>
      <c r="U40" s="12" t="inlineStr">
        <is>
          <t>Severe finding</t>
        </is>
      </c>
      <c r="V40" s="16" t="inlineStr">
        <is>
          <t>No</t>
        </is>
      </c>
      <c r="W40" s="16" t="inlineStr">
        <is>
          <t>No</t>
        </is>
      </c>
      <c r="X40" s="25" t="inlineStr">
        <is>
          <t>U</t>
        </is>
      </c>
    </row>
    <row r="41" ht="16" customHeight="1">
      <c r="A41" s="17" t="n">
        <v>40</v>
      </c>
      <c r="B41" s="17" t="inlineStr">
        <is>
          <t>Spine Curvature</t>
        </is>
      </c>
      <c r="C41" t="inlineStr">
        <is>
          <t>MRI Spine: Curvature</t>
        </is>
      </c>
      <c r="D41" s="17" t="inlineStr">
        <is>
          <t>Minor</t>
        </is>
      </c>
      <c r="E41" s="17" t="n"/>
      <c r="G41" s="17" t="n"/>
      <c r="I41" s="17" t="n"/>
      <c r="K41" s="17" t="inlineStr">
        <is>
          <t>Yes</t>
        </is>
      </c>
      <c r="L41" s="17" t="n"/>
      <c r="M41" s="17" t="n"/>
      <c r="N41" s="21" t="n"/>
      <c r="O41" s="21" t="n"/>
      <c r="P41" s="17" t="inlineStr">
        <is>
          <t>MRI</t>
        </is>
      </c>
      <c r="Q41" s="17" t="inlineStr">
        <is>
          <t>MRI Report</t>
        </is>
      </c>
      <c r="R41" s="9" t="inlineStr">
        <is>
          <t>Normal</t>
        </is>
      </c>
      <c r="S41" s="10" t="inlineStr">
        <is>
          <t>Any positive finding</t>
        </is>
      </c>
      <c r="T41" s="11" t="inlineStr">
        <is>
          <t>Significant finding</t>
        </is>
      </c>
      <c r="U41" s="12" t="inlineStr">
        <is>
          <t>Severe finding</t>
        </is>
      </c>
      <c r="V41" s="16" t="inlineStr">
        <is>
          <t>No</t>
        </is>
      </c>
      <c r="W41" s="16" t="inlineStr">
        <is>
          <t>No</t>
        </is>
      </c>
      <c r="X41" s="25" t="inlineStr">
        <is>
          <t>U</t>
        </is>
      </c>
    </row>
    <row r="42" ht="16" customHeight="1">
      <c r="A42" s="18" t="n">
        <v>41</v>
      </c>
      <c r="B42" s="18" t="inlineStr">
        <is>
          <t>Urine Albumin/Creatinine</t>
        </is>
      </c>
      <c r="C42" t="inlineStr">
        <is>
          <t>Kidney Function Marker</t>
        </is>
      </c>
      <c r="D42" s="18" t="inlineStr">
        <is>
          <t>Normal</t>
        </is>
      </c>
      <c r="E42" s="18" t="n"/>
      <c r="G42" s="18" t="n"/>
      <c r="I42" s="18" t="inlineStr">
        <is>
          <t>Yes</t>
        </is>
      </c>
      <c r="K42" s="18" t="n"/>
      <c r="L42" s="18" t="n"/>
      <c r="M42" s="18" t="n"/>
      <c r="N42" s="21" t="n"/>
      <c r="O42" s="21" t="n"/>
      <c r="P42" s="18" t="inlineStr">
        <is>
          <t>Urine Analysis</t>
        </is>
      </c>
      <c r="Q42" s="18" t="inlineStr">
        <is>
          <t>Urine Analysis</t>
        </is>
      </c>
      <c r="R42" s="9" t="inlineStr">
        <is>
          <t>≤ 30.0</t>
        </is>
      </c>
      <c r="S42" s="10" t="inlineStr">
        <is>
          <t>30.0 – 36.0</t>
        </is>
      </c>
      <c r="T42" s="11" t="inlineStr">
        <is>
          <t>36.0 – 52.5</t>
        </is>
      </c>
      <c r="U42" s="12" t="inlineStr">
        <is>
          <t>&gt; 52.5</t>
        </is>
      </c>
      <c r="V42" s="13" t="inlineStr">
        <is>
          <t>Yes</t>
        </is>
      </c>
      <c r="W42" s="14" t="inlineStr">
        <is>
          <t>Yes</t>
        </is>
      </c>
      <c r="X42" s="25" t="inlineStr">
        <is>
          <t>U</t>
        </is>
      </c>
    </row>
    <row r="43" ht="16" customHeight="1">
      <c r="A43" s="18" t="n">
        <v>42</v>
      </c>
      <c r="B43" s="18" t="inlineStr">
        <is>
          <t>Iron % Saturation</t>
        </is>
      </c>
      <c r="C43" t="inlineStr">
        <is>
          <t>Iron Utilization Rate</t>
        </is>
      </c>
      <c r="D43" s="18" t="inlineStr">
        <is>
          <t>Normal</t>
        </is>
      </c>
      <c r="E43" s="18" t="n"/>
      <c r="G43" s="18" t="n"/>
      <c r="I43" s="18" t="n"/>
      <c r="J43" t="inlineStr">
        <is>
          <t>Yes</t>
        </is>
      </c>
      <c r="K43" s="18" t="n"/>
      <c r="L43" s="18" t="n"/>
      <c r="M43" s="18" t="n"/>
      <c r="N43" s="21" t="n"/>
      <c r="O43" s="21" t="n"/>
      <c r="P43" s="18" t="inlineStr">
        <is>
          <t>Blood Test</t>
        </is>
      </c>
      <c r="Q43" s="18" t="inlineStr">
        <is>
          <t>Blood Report</t>
        </is>
      </c>
      <c r="R43" s="9" t="inlineStr">
        <is>
          <t>13.0 – 45.0</t>
        </is>
      </c>
      <c r="S43" s="10" t="inlineStr">
        <is>
          <t>3.4 – 13.0  or  45.0 – 54.6</t>
        </is>
      </c>
      <c r="T43" s="11" t="inlineStr">
        <is>
          <t>-19.0 – 3.4  or  54.6 – 77.0</t>
        </is>
      </c>
      <c r="U43" s="12" t="inlineStr">
        <is>
          <t>&lt; -19.0  or  &gt; 77.0</t>
        </is>
      </c>
      <c r="V43" s="16" t="inlineStr">
        <is>
          <t>No</t>
        </is>
      </c>
      <c r="W43" s="16" t="inlineStr">
        <is>
          <t>No</t>
        </is>
      </c>
      <c r="X43" s="25" t="inlineStr">
        <is>
          <t>U</t>
        </is>
      </c>
    </row>
    <row r="44" ht="16" customHeight="1">
      <c r="A44" s="18" t="n">
        <v>43</v>
      </c>
      <c r="B44" s="18" t="inlineStr">
        <is>
          <t>RBC</t>
        </is>
      </c>
      <c r="C44" t="inlineStr">
        <is>
          <t>Red Blood Cell Count</t>
        </is>
      </c>
      <c r="D44" s="18" t="inlineStr">
        <is>
          <t>Normal</t>
        </is>
      </c>
      <c r="E44" s="18" t="n"/>
      <c r="G44" s="18" t="n"/>
      <c r="I44" s="18" t="n"/>
      <c r="J44" t="inlineStr">
        <is>
          <t>Yes</t>
        </is>
      </c>
      <c r="K44" s="18" t="n"/>
      <c r="L44" s="18" t="n"/>
      <c r="M44" s="18" t="n"/>
      <c r="N44" s="21" t="n"/>
      <c r="O44" s="21" t="n"/>
      <c r="P44" s="18" t="inlineStr">
        <is>
          <t>Blood Test</t>
        </is>
      </c>
      <c r="Q44" s="18" t="inlineStr">
        <is>
          <t>Blood Report</t>
        </is>
      </c>
      <c r="R44" s="9" t="inlineStr">
        <is>
          <t>3.8 – 4.8</t>
        </is>
      </c>
      <c r="S44" s="10" t="inlineStr">
        <is>
          <t>3.5 – 3.8  or  4.8 – 5.1</t>
        </is>
      </c>
      <c r="T44" s="11" t="inlineStr">
        <is>
          <t>2.8 – 3.5  or  5.1 – 5.8</t>
        </is>
      </c>
      <c r="U44" s="12" t="inlineStr">
        <is>
          <t>&lt; 2.8  or  &gt; 5.8</t>
        </is>
      </c>
      <c r="V44" s="16" t="inlineStr">
        <is>
          <t>No</t>
        </is>
      </c>
      <c r="W44" s="16" t="inlineStr">
        <is>
          <t>No</t>
        </is>
      </c>
      <c r="X44" s="25" t="inlineStr">
        <is>
          <t>U</t>
        </is>
      </c>
    </row>
    <row r="45" ht="16" customHeight="1">
      <c r="A45" s="18" t="n">
        <v>44</v>
      </c>
      <c r="B45" s="18" t="inlineStr">
        <is>
          <t>TPO</t>
        </is>
      </c>
      <c r="C45" t="inlineStr">
        <is>
          <t>Autoimmune Thyroid Marker</t>
        </is>
      </c>
      <c r="D45" s="18" t="inlineStr">
        <is>
          <t>Normal</t>
        </is>
      </c>
      <c r="E45" s="18" t="n"/>
      <c r="F45" t="inlineStr">
        <is>
          <t>Yes</t>
        </is>
      </c>
      <c r="G45" s="18" t="n"/>
      <c r="I45" s="18" t="n"/>
      <c r="K45" s="18" t="n"/>
      <c r="L45" s="18" t="n"/>
      <c r="M45" s="18" t="n"/>
      <c r="N45" s="21" t="n"/>
      <c r="O45" s="21" t="n"/>
      <c r="P45" s="18" t="inlineStr">
        <is>
          <t>Blood Test</t>
        </is>
      </c>
      <c r="Q45" s="18" t="inlineStr">
        <is>
          <t>Blood Report</t>
        </is>
      </c>
      <c r="R45" s="9" t="inlineStr">
        <is>
          <t>≤ 9.0</t>
        </is>
      </c>
      <c r="S45" s="10" t="inlineStr">
        <is>
          <t>9.0 – 10.8</t>
        </is>
      </c>
      <c r="T45" s="11" t="inlineStr">
        <is>
          <t>10.8 – 15.75</t>
        </is>
      </c>
      <c r="U45" s="12" t="inlineStr">
        <is>
          <t>&gt; 15.75</t>
        </is>
      </c>
      <c r="V45" s="16" t="inlineStr">
        <is>
          <t>No</t>
        </is>
      </c>
      <c r="W45" s="14" t="inlineStr">
        <is>
          <t>Yes</t>
        </is>
      </c>
      <c r="X45" s="25" t="inlineStr">
        <is>
          <t>U</t>
        </is>
      </c>
    </row>
    <row r="46" ht="16" customHeight="1">
      <c r="A46" s="18" t="n">
        <v>45</v>
      </c>
      <c r="B46" s="18" t="inlineStr">
        <is>
          <t>Calcium</t>
        </is>
      </c>
      <c r="C46" t="inlineStr">
        <is>
          <t>Mineral Balance Marker</t>
        </is>
      </c>
      <c r="D46" s="18" t="inlineStr">
        <is>
          <t>Normal</t>
        </is>
      </c>
      <c r="E46" s="18" t="n"/>
      <c r="G46" s="18" t="n"/>
      <c r="I46" s="18" t="n"/>
      <c r="J46" t="inlineStr">
        <is>
          <t>Yes</t>
        </is>
      </c>
      <c r="K46" s="18" t="n"/>
      <c r="L46" s="18" t="n"/>
      <c r="M46" s="18" t="n"/>
      <c r="N46" s="21" t="n"/>
      <c r="O46" s="21" t="n"/>
      <c r="P46" s="18" t="inlineStr">
        <is>
          <t>Blood Test</t>
        </is>
      </c>
      <c r="Q46" s="18" t="inlineStr">
        <is>
          <t>Blood Report</t>
        </is>
      </c>
      <c r="R46" s="9" t="inlineStr">
        <is>
          <t>8.8 – 10.6</t>
        </is>
      </c>
      <c r="S46" s="10" t="inlineStr">
        <is>
          <t>8.26 – 8.8  or  10.6 – 11.14</t>
        </is>
      </c>
      <c r="T46" s="11" t="inlineStr">
        <is>
          <t>7.0 – 8.26  or  11.14 – 12.4</t>
        </is>
      </c>
      <c r="U46" s="12" t="inlineStr">
        <is>
          <t>&lt; 7.0  or  &gt; 12.4</t>
        </is>
      </c>
      <c r="V46" s="16" t="inlineStr">
        <is>
          <t>No</t>
        </is>
      </c>
      <c r="W46" s="16" t="inlineStr">
        <is>
          <t>No</t>
        </is>
      </c>
      <c r="X46" s="25" t="inlineStr">
        <is>
          <t>U</t>
        </is>
      </c>
    </row>
    <row r="47" ht="16" customHeight="1">
      <c r="A47" s="18" t="n">
        <v>46</v>
      </c>
      <c r="B47" s="18" t="inlineStr">
        <is>
          <t>GGT</t>
        </is>
      </c>
      <c r="C47" t="inlineStr">
        <is>
          <t>Liver &amp; Bile Duct Health</t>
        </is>
      </c>
      <c r="D47" s="18" t="inlineStr">
        <is>
          <t>Normal</t>
        </is>
      </c>
      <c r="E47" s="18" t="n"/>
      <c r="G47" s="18" t="inlineStr">
        <is>
          <t>Yes</t>
        </is>
      </c>
      <c r="I47" s="18" t="n"/>
      <c r="K47" s="18" t="n"/>
      <c r="L47" s="18" t="n"/>
      <c r="M47" s="18" t="n"/>
      <c r="N47" s="21" t="n"/>
      <c r="O47" s="21" t="n"/>
      <c r="P47" s="18" t="inlineStr">
        <is>
          <t>Blood Test</t>
        </is>
      </c>
      <c r="Q47" s="18" t="inlineStr">
        <is>
          <t>Blood Report</t>
        </is>
      </c>
      <c r="R47" s="9" t="inlineStr">
        <is>
          <t>≤ 38.0</t>
        </is>
      </c>
      <c r="S47" s="10" t="inlineStr">
        <is>
          <t>38.0 – 45.6</t>
        </is>
      </c>
      <c r="T47" s="11" t="inlineStr">
        <is>
          <t>45.6 – 66.5</t>
        </is>
      </c>
      <c r="U47" s="12" t="inlineStr">
        <is>
          <t>&gt; 66.5</t>
        </is>
      </c>
      <c r="V47" s="16" t="inlineStr">
        <is>
          <t>No</t>
        </is>
      </c>
      <c r="W47" s="16" t="inlineStr">
        <is>
          <t>No</t>
        </is>
      </c>
      <c r="X47" s="25" t="inlineStr">
        <is>
          <t>U</t>
        </is>
      </c>
    </row>
    <row r="48" ht="16" customHeight="1">
      <c r="A48" s="18" t="n">
        <v>47</v>
      </c>
      <c r="B48" s="18" t="inlineStr">
        <is>
          <t>Blood Urea Nitrogen (BUN)</t>
        </is>
      </c>
      <c r="C48" t="inlineStr">
        <is>
          <t>Kidney Function Marker</t>
        </is>
      </c>
      <c r="D48" s="18" t="inlineStr">
        <is>
          <t>Normal</t>
        </is>
      </c>
      <c r="E48" s="18" t="n"/>
      <c r="G48" s="18" t="n"/>
      <c r="I48" s="18" t="inlineStr">
        <is>
          <t>Yes</t>
        </is>
      </c>
      <c r="K48" s="18" t="n"/>
      <c r="L48" s="18" t="n"/>
      <c r="M48" s="18" t="n"/>
      <c r="N48" s="21" t="n"/>
      <c r="O48" s="21" t="n"/>
      <c r="P48" s="18" t="inlineStr">
        <is>
          <t>Blood Test</t>
        </is>
      </c>
      <c r="Q48" s="18" t="inlineStr">
        <is>
          <t>Blood Report</t>
        </is>
      </c>
      <c r="R48" s="9" t="inlineStr">
        <is>
          <t>7.0 – 20.0</t>
        </is>
      </c>
      <c r="S48" s="10" t="inlineStr">
        <is>
          <t>3.1 – 7.0  or  20.0 – 23.9</t>
        </is>
      </c>
      <c r="T48" s="11" t="inlineStr">
        <is>
          <t>-6.0 – 3.1  or  23.9 – 33.0</t>
        </is>
      </c>
      <c r="U48" s="12" t="inlineStr">
        <is>
          <t>&lt; -6.0  or  &gt; 33.0</t>
        </is>
      </c>
      <c r="V48" s="13" t="inlineStr">
        <is>
          <t>Yes</t>
        </is>
      </c>
      <c r="W48" s="14" t="inlineStr">
        <is>
          <t>Yes</t>
        </is>
      </c>
      <c r="X48" s="25" t="inlineStr">
        <is>
          <t>U</t>
        </is>
      </c>
    </row>
    <row r="49" ht="16" customHeight="1">
      <c r="A49" s="18" t="n">
        <v>48</v>
      </c>
      <c r="B49" s="18" t="inlineStr">
        <is>
          <t>Sodium</t>
        </is>
      </c>
      <c r="C49" t="inlineStr">
        <is>
          <t>Fluid Balance Marker</t>
        </is>
      </c>
      <c r="D49" s="18" t="inlineStr">
        <is>
          <t>Normal</t>
        </is>
      </c>
      <c r="E49" s="18" t="n"/>
      <c r="G49" s="18" t="n"/>
      <c r="I49" s="18" t="inlineStr">
        <is>
          <t>Yes</t>
        </is>
      </c>
      <c r="K49" s="18" t="n"/>
      <c r="L49" s="18" t="n"/>
      <c r="M49" s="18" t="n"/>
      <c r="N49" s="21" t="n"/>
      <c r="O49" s="21" t="n"/>
      <c r="P49" s="18" t="inlineStr">
        <is>
          <t>Blood Test</t>
        </is>
      </c>
      <c r="Q49" s="18" t="inlineStr">
        <is>
          <t>Blood Report</t>
        </is>
      </c>
      <c r="R49" s="9" t="inlineStr">
        <is>
          <t>136.0 – 145.0</t>
        </is>
      </c>
      <c r="S49" s="10" t="inlineStr">
        <is>
          <t>133.3 – 136.0  or  145.0 – 147.7</t>
        </is>
      </c>
      <c r="T49" s="11" t="inlineStr">
        <is>
          <t>127.0 – 133.3  or  147.7 – 154.0</t>
        </is>
      </c>
      <c r="U49" s="12" t="inlineStr">
        <is>
          <t>&lt; 127.0  or  &gt; 154.0</t>
        </is>
      </c>
      <c r="V49" s="16" t="inlineStr">
        <is>
          <t>No</t>
        </is>
      </c>
      <c r="W49" s="16" t="inlineStr">
        <is>
          <t>No</t>
        </is>
      </c>
      <c r="X49" s="25" t="inlineStr">
        <is>
          <t>U</t>
        </is>
      </c>
    </row>
    <row r="50" ht="16" customHeight="1">
      <c r="A50" s="18" t="n">
        <v>49</v>
      </c>
      <c r="B50" s="18" t="inlineStr">
        <is>
          <t>Potassium</t>
        </is>
      </c>
      <c r="C50" t="inlineStr">
        <is>
          <t>Electrolyte Balance</t>
        </is>
      </c>
      <c r="D50" s="18" t="inlineStr">
        <is>
          <t>Normal</t>
        </is>
      </c>
      <c r="E50" s="18" t="n"/>
      <c r="G50" s="18" t="n"/>
      <c r="I50" s="18" t="inlineStr">
        <is>
          <t>Yes</t>
        </is>
      </c>
      <c r="K50" s="18" t="n"/>
      <c r="L50" s="18" t="n"/>
      <c r="M50" s="18" t="n"/>
      <c r="N50" s="21" t="n"/>
      <c r="O50" s="21" t="n"/>
      <c r="P50" s="18" t="inlineStr">
        <is>
          <t>Blood Test</t>
        </is>
      </c>
      <c r="Q50" s="18" t="inlineStr">
        <is>
          <t>Blood Report</t>
        </is>
      </c>
      <c r="R50" s="9" t="inlineStr">
        <is>
          <t>3.5 – 5.1</t>
        </is>
      </c>
      <c r="S50" s="10" t="inlineStr">
        <is>
          <t>3.02 – 3.5  or  5.1 – 5.58</t>
        </is>
      </c>
      <c r="T50" s="11" t="inlineStr">
        <is>
          <t>1.9 – 3.02  or  5.58 – 6.7</t>
        </is>
      </c>
      <c r="U50" s="12" t="inlineStr">
        <is>
          <t>&lt; 1.9  or  &gt; 6.7</t>
        </is>
      </c>
      <c r="V50" s="16" t="inlineStr">
        <is>
          <t>No</t>
        </is>
      </c>
      <c r="W50" s="16" t="inlineStr">
        <is>
          <t>No</t>
        </is>
      </c>
      <c r="X50" s="25" t="inlineStr">
        <is>
          <t>U</t>
        </is>
      </c>
    </row>
    <row r="51" ht="16" customHeight="1">
      <c r="A51" s="18" t="n">
        <v>50</v>
      </c>
      <c r="B51" s="18" t="inlineStr">
        <is>
          <t>BUN / Creatinine Ratio</t>
        </is>
      </c>
      <c r="C51" t="inlineStr">
        <is>
          <t>Kidney Function &amp; Hydration</t>
        </is>
      </c>
      <c r="D51" s="18" t="inlineStr">
        <is>
          <t>Normal</t>
        </is>
      </c>
      <c r="E51" s="18" t="n"/>
      <c r="G51" s="18" t="n"/>
      <c r="I51" s="18" t="inlineStr">
        <is>
          <t>Yes</t>
        </is>
      </c>
      <c r="K51" s="18" t="n"/>
      <c r="L51" s="18" t="n"/>
      <c r="M51" s="18" t="n"/>
      <c r="N51" s="21" t="n"/>
      <c r="O51" s="21" t="n"/>
      <c r="P51" s="18" t="inlineStr">
        <is>
          <t>Blood Test</t>
        </is>
      </c>
      <c r="Q51" s="18" t="inlineStr">
        <is>
          <t>Blood Report</t>
        </is>
      </c>
      <c r="R51" s="9" t="inlineStr">
        <is>
          <t>9.0 – 23.0</t>
        </is>
      </c>
      <c r="S51" s="10" t="inlineStr">
        <is>
          <t>4.8 – 9.0  or  23.0 – 27.2</t>
        </is>
      </c>
      <c r="T51" s="11" t="inlineStr">
        <is>
          <t>-5.0 – 4.8  or  27.2 – 37.0</t>
        </is>
      </c>
      <c r="U51" s="12" t="inlineStr">
        <is>
          <t>&lt; -5.0  or  &gt; 37.0</t>
        </is>
      </c>
      <c r="V51" s="16" t="inlineStr">
        <is>
          <t>No</t>
        </is>
      </c>
      <c r="W51" s="16" t="inlineStr">
        <is>
          <t>No</t>
        </is>
      </c>
      <c r="X51" s="25" t="inlineStr">
        <is>
          <t>U</t>
        </is>
      </c>
    </row>
    <row r="52" ht="16" customHeight="1">
      <c r="A52" s="18" t="n">
        <v>51</v>
      </c>
      <c r="B52" s="18" t="inlineStr">
        <is>
          <t>Chloride</t>
        </is>
      </c>
      <c r="C52" t="inlineStr">
        <is>
          <t>Fluid Balance Marker</t>
        </is>
      </c>
      <c r="D52" s="18" t="inlineStr">
        <is>
          <t>Normal</t>
        </is>
      </c>
      <c r="E52" s="18" t="n"/>
      <c r="G52" s="18" t="n"/>
      <c r="I52" s="18" t="inlineStr">
        <is>
          <t>Yes</t>
        </is>
      </c>
      <c r="K52" s="18" t="n"/>
      <c r="L52" s="18" t="n"/>
      <c r="M52" s="18" t="n"/>
      <c r="N52" s="21" t="n"/>
      <c r="O52" s="21" t="n"/>
      <c r="P52" s="18" t="inlineStr">
        <is>
          <t>Blood Test</t>
        </is>
      </c>
      <c r="Q52" s="18" t="inlineStr">
        <is>
          <t>Blood Report</t>
        </is>
      </c>
      <c r="R52" s="9" t="inlineStr">
        <is>
          <t>98.0 – 107.0</t>
        </is>
      </c>
      <c r="S52" s="10" t="inlineStr">
        <is>
          <t>95.3 – 98.0  or  107.0 – 109.7</t>
        </is>
      </c>
      <c r="T52" s="11" t="inlineStr">
        <is>
          <t>89.0 – 95.3  or  109.7 – 116.0</t>
        </is>
      </c>
      <c r="U52" s="12" t="inlineStr">
        <is>
          <t>&lt; 89.0  or  &gt; 116.0</t>
        </is>
      </c>
      <c r="V52" s="16" t="inlineStr">
        <is>
          <t>No</t>
        </is>
      </c>
      <c r="W52" s="16" t="inlineStr">
        <is>
          <t>No</t>
        </is>
      </c>
      <c r="X52" s="25" t="inlineStr">
        <is>
          <t>U</t>
        </is>
      </c>
    </row>
    <row r="53" ht="16" customHeight="1">
      <c r="A53" s="18" t="n">
        <v>52</v>
      </c>
      <c r="B53" s="18" t="inlineStr">
        <is>
          <t>eGFR</t>
        </is>
      </c>
      <c r="C53" t="inlineStr">
        <is>
          <t>Kidney Filtration Score</t>
        </is>
      </c>
      <c r="D53" s="18" t="inlineStr">
        <is>
          <t>Normal</t>
        </is>
      </c>
      <c r="E53" s="18" t="n"/>
      <c r="G53" s="18" t="n"/>
      <c r="I53" s="18" t="inlineStr">
        <is>
          <t>Yes</t>
        </is>
      </c>
      <c r="K53" s="18" t="n"/>
      <c r="L53" s="18" t="n"/>
      <c r="M53" s="18" t="n"/>
      <c r="N53" s="21" t="n"/>
      <c r="O53" s="21" t="n"/>
      <c r="P53" s="18" t="inlineStr">
        <is>
          <t>Blood Test</t>
        </is>
      </c>
      <c r="Q53" s="18" t="inlineStr">
        <is>
          <t>Blood Report</t>
        </is>
      </c>
      <c r="R53" s="9" t="inlineStr">
        <is>
          <t>≥ 90.0</t>
        </is>
      </c>
      <c r="S53" s="10" t="inlineStr">
        <is>
          <t>72.0 – 90.0</t>
        </is>
      </c>
      <c r="T53" s="11" t="inlineStr">
        <is>
          <t>45.0 – 72.0</t>
        </is>
      </c>
      <c r="U53" s="12" t="inlineStr">
        <is>
          <t>&lt; 45.0</t>
        </is>
      </c>
      <c r="V53" s="13" t="inlineStr">
        <is>
          <t>Yes</t>
        </is>
      </c>
      <c r="W53" s="14" t="inlineStr">
        <is>
          <t>Yes</t>
        </is>
      </c>
      <c r="X53" s="25" t="inlineStr">
        <is>
          <t>U</t>
        </is>
      </c>
    </row>
    <row r="54" ht="16" customHeight="1">
      <c r="A54" s="18" t="n">
        <v>53</v>
      </c>
      <c r="B54" s="18" t="inlineStr">
        <is>
          <t>Iron</t>
        </is>
      </c>
      <c r="C54" t="inlineStr">
        <is>
          <t>Oxygen Transport</t>
        </is>
      </c>
      <c r="D54" s="18" t="inlineStr">
        <is>
          <t>Normal</t>
        </is>
      </c>
      <c r="E54" s="18" t="n"/>
      <c r="G54" s="18" t="n"/>
      <c r="I54" s="18" t="n"/>
      <c r="J54" t="inlineStr">
        <is>
          <t>Yes</t>
        </is>
      </c>
      <c r="K54" s="18" t="n"/>
      <c r="L54" s="18" t="n"/>
      <c r="M54" s="18" t="n"/>
      <c r="N54" s="21" t="n"/>
      <c r="O54" s="21" t="n"/>
      <c r="P54" s="18" t="inlineStr">
        <is>
          <t>Blood Test</t>
        </is>
      </c>
      <c r="Q54" s="18" t="inlineStr">
        <is>
          <t>Blood Report</t>
        </is>
      </c>
      <c r="R54" s="9" t="inlineStr">
        <is>
          <t>50.0 – 170.0</t>
        </is>
      </c>
      <c r="S54" s="10" t="inlineStr">
        <is>
          <t>14.0 – 50.0  or  170.0 – 206.0</t>
        </is>
      </c>
      <c r="T54" s="11" t="inlineStr">
        <is>
          <t>-70.0 – 14.0  or  206.0 – 290.0</t>
        </is>
      </c>
      <c r="U54" s="12" t="inlineStr">
        <is>
          <t>&lt; -70.0  or  &gt; 290.0</t>
        </is>
      </c>
      <c r="V54" s="16" t="inlineStr">
        <is>
          <t>No</t>
        </is>
      </c>
      <c r="W54" s="16" t="inlineStr">
        <is>
          <t>No</t>
        </is>
      </c>
      <c r="X54" s="25" t="inlineStr">
        <is>
          <t>U</t>
        </is>
      </c>
    </row>
    <row r="55" ht="16" customHeight="1">
      <c r="A55" s="18" t="n">
        <v>54</v>
      </c>
      <c r="B55" s="18" t="inlineStr">
        <is>
          <t>TIBC</t>
        </is>
      </c>
      <c r="C55" t="inlineStr">
        <is>
          <t>Iron Binding Capacity</t>
        </is>
      </c>
      <c r="D55" s="18" t="inlineStr">
        <is>
          <t>Normal</t>
        </is>
      </c>
      <c r="E55" s="18" t="n"/>
      <c r="G55" s="18" t="n"/>
      <c r="I55" s="18" t="n"/>
      <c r="J55" t="inlineStr">
        <is>
          <t>Yes</t>
        </is>
      </c>
      <c r="K55" s="18" t="n"/>
      <c r="L55" s="18" t="n"/>
      <c r="M55" s="18" t="n"/>
      <c r="N55" s="21" t="n"/>
      <c r="O55" s="21" t="n"/>
      <c r="P55" s="18" t="inlineStr">
        <is>
          <t>Blood Test</t>
        </is>
      </c>
      <c r="Q55" s="18" t="inlineStr">
        <is>
          <t>Blood Report</t>
        </is>
      </c>
      <c r="R55" s="9" t="inlineStr">
        <is>
          <t>215.0 – 535.0</t>
        </is>
      </c>
      <c r="S55" s="10" t="inlineStr">
        <is>
          <t>119.0 – 215.0  or  535.0 – 631.0</t>
        </is>
      </c>
      <c r="T55" s="11" t="inlineStr">
        <is>
          <t>-105.0 – 119.0  or  631.0 – 855.0</t>
        </is>
      </c>
      <c r="U55" s="12" t="inlineStr">
        <is>
          <t>&lt; -105.0  or  &gt; 855.0</t>
        </is>
      </c>
      <c r="V55" s="16" t="inlineStr">
        <is>
          <t>No</t>
        </is>
      </c>
      <c r="W55" s="16" t="inlineStr">
        <is>
          <t>No</t>
        </is>
      </c>
      <c r="X55" s="25" t="inlineStr">
        <is>
          <t>U</t>
        </is>
      </c>
    </row>
    <row r="56" ht="16" customHeight="1">
      <c r="A56" s="18" t="n">
        <v>55</v>
      </c>
      <c r="B56" s="18" t="inlineStr">
        <is>
          <t>Vitamin A</t>
        </is>
      </c>
      <c r="C56" t="inlineStr">
        <is>
          <t>Vision &amp; Immunity</t>
        </is>
      </c>
      <c r="D56" s="18" t="inlineStr">
        <is>
          <t>Normal</t>
        </is>
      </c>
      <c r="E56" s="18" t="n"/>
      <c r="G56" s="18" t="n"/>
      <c r="I56" s="18" t="n"/>
      <c r="J56" t="inlineStr">
        <is>
          <t>Yes</t>
        </is>
      </c>
      <c r="K56" s="18" t="n"/>
      <c r="L56" s="18" t="n"/>
      <c r="M56" s="18" t="n"/>
      <c r="N56" s="21" t="n"/>
      <c r="O56" s="21" t="n"/>
      <c r="P56" s="18" t="inlineStr">
        <is>
          <t>Blood Test</t>
        </is>
      </c>
      <c r="Q56" s="18" t="inlineStr">
        <is>
          <t>Blood Report</t>
        </is>
      </c>
      <c r="R56" s="9" t="inlineStr">
        <is>
          <t>300.0 – 800.0</t>
        </is>
      </c>
      <c r="S56" s="10" t="inlineStr">
        <is>
          <t>150.0 – 300.0  or  800.0 – 950.0</t>
        </is>
      </c>
      <c r="T56" s="11" t="inlineStr">
        <is>
          <t>-200.0 – 150.0  or  950.0 – 1300.0</t>
        </is>
      </c>
      <c r="U56" s="12" t="inlineStr">
        <is>
          <t>&lt; -200.0  or  &gt; 1300.0</t>
        </is>
      </c>
      <c r="V56" s="16" t="inlineStr">
        <is>
          <t>No</t>
        </is>
      </c>
      <c r="W56" s="16" t="inlineStr">
        <is>
          <t>No</t>
        </is>
      </c>
      <c r="X56" s="25" t="inlineStr">
        <is>
          <t>U</t>
        </is>
      </c>
    </row>
    <row r="57" ht="16" customHeight="1">
      <c r="A57" s="18" t="n">
        <v>56</v>
      </c>
      <c r="B57" s="18" t="inlineStr">
        <is>
          <t>Zinc</t>
        </is>
      </c>
      <c r="C57" t="inlineStr">
        <is>
          <t>Immunity &amp; Healing</t>
        </is>
      </c>
      <c r="D57" s="18" t="inlineStr">
        <is>
          <t>Normal</t>
        </is>
      </c>
      <c r="E57" s="18" t="n"/>
      <c r="G57" s="18" t="n"/>
      <c r="I57" s="18" t="n"/>
      <c r="J57" t="inlineStr">
        <is>
          <t>Yes</t>
        </is>
      </c>
      <c r="K57" s="18" t="n"/>
      <c r="L57" s="18" t="n"/>
      <c r="M57" s="18" t="n"/>
      <c r="N57" s="21" t="n"/>
      <c r="O57" s="21" t="n"/>
      <c r="P57" s="18" t="inlineStr">
        <is>
          <t>Blood Test</t>
        </is>
      </c>
      <c r="Q57" s="18" t="inlineStr">
        <is>
          <t>Blood Report</t>
        </is>
      </c>
      <c r="R57" s="9" t="inlineStr">
        <is>
          <t>4000.0 – 9000.0</t>
        </is>
      </c>
      <c r="S57" s="10" t="inlineStr">
        <is>
          <t>2500.0 – 4000.0  or  9000.0 – 10500.0</t>
        </is>
      </c>
      <c r="T57" s="11" t="inlineStr">
        <is>
          <t>-1000.0 – 2500.0  or  10500.0 – 14000.0</t>
        </is>
      </c>
      <c r="U57" s="12" t="inlineStr">
        <is>
          <t>&lt; -1000.0  or  &gt; 14000.0</t>
        </is>
      </c>
      <c r="V57" s="16" t="inlineStr">
        <is>
          <t>No</t>
        </is>
      </c>
      <c r="W57" s="16" t="inlineStr">
        <is>
          <t>No</t>
        </is>
      </c>
      <c r="X57" s="25" t="inlineStr">
        <is>
          <t>U</t>
        </is>
      </c>
    </row>
    <row r="58" ht="16" customHeight="1">
      <c r="A58" s="18" t="n">
        <v>57</v>
      </c>
      <c r="B58" s="18" t="inlineStr">
        <is>
          <t>Selenium</t>
        </is>
      </c>
      <c r="C58" t="inlineStr">
        <is>
          <t>Antioxidant Defense</t>
        </is>
      </c>
      <c r="D58" s="18" t="inlineStr">
        <is>
          <t>Normal</t>
        </is>
      </c>
      <c r="E58" s="18" t="n"/>
      <c r="G58" s="18" t="n"/>
      <c r="I58" s="18" t="n"/>
      <c r="J58" t="inlineStr">
        <is>
          <t>Yes</t>
        </is>
      </c>
      <c r="K58" s="18" t="n"/>
      <c r="L58" s="18" t="n"/>
      <c r="M58" s="18" t="n"/>
      <c r="N58" s="21" t="n"/>
      <c r="O58" s="21" t="n"/>
      <c r="P58" s="18" t="inlineStr">
        <is>
          <t>Blood Test</t>
        </is>
      </c>
      <c r="Q58" s="18" t="inlineStr">
        <is>
          <t>Blood Report</t>
        </is>
      </c>
      <c r="R58" s="9" t="inlineStr">
        <is>
          <t>60.0 – 340.0</t>
        </is>
      </c>
      <c r="S58" s="10" t="inlineStr">
        <is>
          <t>-24.0 – 60.0  or  340.0 – 424.0</t>
        </is>
      </c>
      <c r="T58" s="11" t="inlineStr">
        <is>
          <t>-220.0 – -24.0  or  424.0 – 620.0</t>
        </is>
      </c>
      <c r="U58" s="12" t="inlineStr">
        <is>
          <t>&lt; -220.0  or  &gt; 620.0</t>
        </is>
      </c>
      <c r="V58" s="16" t="inlineStr">
        <is>
          <t>No</t>
        </is>
      </c>
      <c r="W58" s="16" t="inlineStr">
        <is>
          <t>No</t>
        </is>
      </c>
      <c r="X58" s="25" t="inlineStr">
        <is>
          <t>U</t>
        </is>
      </c>
    </row>
    <row r="59" ht="16" customHeight="1">
      <c r="A59" s="18" t="n">
        <v>58</v>
      </c>
      <c r="B59" s="18" t="inlineStr">
        <is>
          <t>WBC</t>
        </is>
      </c>
      <c r="C59" t="inlineStr">
        <is>
          <t>Immune Cell Count</t>
        </is>
      </c>
      <c r="D59" s="18" t="inlineStr">
        <is>
          <t>Normal</t>
        </is>
      </c>
      <c r="E59" s="18" t="n"/>
      <c r="G59" s="18" t="n"/>
      <c r="I59" s="18" t="n"/>
      <c r="J59" t="inlineStr">
        <is>
          <t>Yes</t>
        </is>
      </c>
      <c r="K59" s="18" t="n"/>
      <c r="L59" s="18" t="n"/>
      <c r="M59" s="18" t="n"/>
      <c r="N59" s="21" t="n"/>
      <c r="O59" s="21" t="n"/>
      <c r="P59" s="18" t="inlineStr">
        <is>
          <t>Blood Test</t>
        </is>
      </c>
      <c r="Q59" s="18" t="inlineStr">
        <is>
          <t>Blood Report</t>
        </is>
      </c>
      <c r="R59" s="9" t="inlineStr">
        <is>
          <t>4.0 – 10.0</t>
        </is>
      </c>
      <c r="S59" s="10" t="inlineStr">
        <is>
          <t>2.2 – 4.0  or  10.0 – 11.8</t>
        </is>
      </c>
      <c r="T59" s="11" t="inlineStr">
        <is>
          <t>-2.0 – 2.2  or  11.8 – 16.0</t>
        </is>
      </c>
      <c r="U59" s="12" t="inlineStr">
        <is>
          <t>&lt; -2.0  or  &gt; 16.0</t>
        </is>
      </c>
      <c r="V59" s="13" t="inlineStr">
        <is>
          <t>Yes</t>
        </is>
      </c>
      <c r="W59" s="14" t="inlineStr">
        <is>
          <t>Yes</t>
        </is>
      </c>
      <c r="X59" s="25" t="inlineStr">
        <is>
          <t>U</t>
        </is>
      </c>
    </row>
    <row r="60" ht="16" customHeight="1">
      <c r="A60" s="18" t="n">
        <v>59</v>
      </c>
      <c r="B60" s="18" t="inlineStr">
        <is>
          <t>MPV</t>
        </is>
      </c>
      <c r="C60" t="inlineStr">
        <is>
          <t>Platelet Size Indicator</t>
        </is>
      </c>
      <c r="D60" s="18" t="inlineStr">
        <is>
          <t>Normal</t>
        </is>
      </c>
      <c r="E60" s="18" t="n"/>
      <c r="G60" s="18" t="n"/>
      <c r="I60" s="18" t="n"/>
      <c r="J60" t="inlineStr">
        <is>
          <t>Yes</t>
        </is>
      </c>
      <c r="K60" s="18" t="n"/>
      <c r="L60" s="18" t="n"/>
      <c r="M60" s="18" t="n"/>
      <c r="N60" s="21" t="n"/>
      <c r="O60" s="21" t="n"/>
      <c r="P60" s="18" t="inlineStr">
        <is>
          <t>Blood Test</t>
        </is>
      </c>
      <c r="Q60" s="18" t="inlineStr">
        <is>
          <t>Blood Report</t>
        </is>
      </c>
      <c r="R60" s="9" t="inlineStr">
        <is>
          <t>6.5 – 12.0</t>
        </is>
      </c>
      <c r="S60" s="10" t="inlineStr">
        <is>
          <t>4.85 – 6.5  or  12.0 – 13.65</t>
        </is>
      </c>
      <c r="T60" s="11" t="inlineStr">
        <is>
          <t>1.0 – 4.85  or  13.65 – 17.5</t>
        </is>
      </c>
      <c r="U60" s="12" t="inlineStr">
        <is>
          <t>&lt; 1.0  or  &gt; 17.5</t>
        </is>
      </c>
      <c r="V60" s="16" t="inlineStr">
        <is>
          <t>No</t>
        </is>
      </c>
      <c r="W60" s="16" t="inlineStr">
        <is>
          <t>No</t>
        </is>
      </c>
      <c r="X60" s="25" t="inlineStr">
        <is>
          <t>U</t>
        </is>
      </c>
    </row>
    <row r="61" ht="16" customHeight="1">
      <c r="A61" s="18" t="n">
        <v>60</v>
      </c>
      <c r="B61" s="18" t="inlineStr">
        <is>
          <t>Hemoglobin</t>
        </is>
      </c>
      <c r="C61" t="inlineStr">
        <is>
          <t>Oxygen Transport</t>
        </is>
      </c>
      <c r="D61" s="18" t="inlineStr">
        <is>
          <t>Normal</t>
        </is>
      </c>
      <c r="E61" s="18" t="n"/>
      <c r="G61" s="18" t="n"/>
      <c r="I61" s="18" t="n"/>
      <c r="J61" t="inlineStr">
        <is>
          <t>Yes</t>
        </is>
      </c>
      <c r="K61" s="18" t="n"/>
      <c r="L61" s="18" t="n"/>
      <c r="M61" s="18" t="n"/>
      <c r="N61" s="21" t="n"/>
      <c r="O61" s="21" t="n"/>
      <c r="P61" s="18" t="inlineStr">
        <is>
          <t>Blood Test</t>
        </is>
      </c>
      <c r="Q61" s="18" t="inlineStr">
        <is>
          <t>Blood Report</t>
        </is>
      </c>
      <c r="R61" s="9" t="inlineStr">
        <is>
          <t>12.0 – 15.0</t>
        </is>
      </c>
      <c r="S61" s="10" t="inlineStr">
        <is>
          <t>11.1 – 12.0  or  15.0 – 15.9</t>
        </is>
      </c>
      <c r="T61" s="11" t="inlineStr">
        <is>
          <t>9.0 – 11.1  or  15.9 – 18.0</t>
        </is>
      </c>
      <c r="U61" s="12" t="inlineStr">
        <is>
          <t>&lt; 9.0  or  &gt; 18.0</t>
        </is>
      </c>
      <c r="V61" s="16" t="inlineStr">
        <is>
          <t>No</t>
        </is>
      </c>
      <c r="W61" s="16" t="inlineStr">
        <is>
          <t>No</t>
        </is>
      </c>
      <c r="X61" s="25" t="inlineStr">
        <is>
          <t>U</t>
        </is>
      </c>
    </row>
    <row r="62" ht="16" customHeight="1">
      <c r="A62" s="18" t="n">
        <v>61</v>
      </c>
      <c r="B62" s="18" t="inlineStr">
        <is>
          <t>Platelet Count</t>
        </is>
      </c>
      <c r="C62" t="inlineStr">
        <is>
          <t>Clotting Ability</t>
        </is>
      </c>
      <c r="D62" s="18" t="inlineStr">
        <is>
          <t>Normal</t>
        </is>
      </c>
      <c r="E62" s="18" t="n"/>
      <c r="G62" s="18" t="n"/>
      <c r="I62" s="18" t="n"/>
      <c r="J62" t="inlineStr">
        <is>
          <t>Yes</t>
        </is>
      </c>
      <c r="K62" s="18" t="n"/>
      <c r="L62" s="18" t="n"/>
      <c r="M62" s="18" t="n"/>
      <c r="N62" s="21" t="n"/>
      <c r="O62" s="21" t="n"/>
      <c r="P62" s="18" t="inlineStr">
        <is>
          <t>Blood Test</t>
        </is>
      </c>
      <c r="Q62" s="18" t="inlineStr">
        <is>
          <t>Blood Report</t>
        </is>
      </c>
      <c r="R62" s="9" t="inlineStr">
        <is>
          <t>150.0 – 410.0</t>
        </is>
      </c>
      <c r="S62" s="10" t="inlineStr">
        <is>
          <t>72.0 – 150.0  or  410.0 – 488.0</t>
        </is>
      </c>
      <c r="T62" s="11" t="inlineStr">
        <is>
          <t>-110.0 – 72.0  or  488.0 – 670.0</t>
        </is>
      </c>
      <c r="U62" s="12" t="inlineStr">
        <is>
          <t>&lt; -110.0  or  &gt; 670.0</t>
        </is>
      </c>
      <c r="V62" s="16" t="inlineStr">
        <is>
          <t>No</t>
        </is>
      </c>
      <c r="W62" s="16" t="inlineStr">
        <is>
          <t>No</t>
        </is>
      </c>
      <c r="X62" s="25" t="inlineStr">
        <is>
          <t>U</t>
        </is>
      </c>
    </row>
    <row r="63" ht="16" customHeight="1">
      <c r="A63" s="18" t="n">
        <v>62</v>
      </c>
      <c r="B63" s="18" t="inlineStr">
        <is>
          <t>Hematocrit</t>
        </is>
      </c>
      <c r="C63" t="inlineStr">
        <is>
          <t>Blood Cell Volume</t>
        </is>
      </c>
      <c r="D63" s="18" t="inlineStr">
        <is>
          <t>Normal</t>
        </is>
      </c>
      <c r="E63" s="18" t="n"/>
      <c r="G63" s="18" t="n"/>
      <c r="I63" s="18" t="n"/>
      <c r="J63" t="inlineStr">
        <is>
          <t>Yes</t>
        </is>
      </c>
      <c r="K63" s="18" t="n"/>
      <c r="L63" s="18" t="n"/>
      <c r="M63" s="18" t="n"/>
      <c r="N63" s="21" t="n"/>
      <c r="O63" s="21" t="n"/>
      <c r="P63" s="18" t="inlineStr">
        <is>
          <t>Blood Test</t>
        </is>
      </c>
      <c r="Q63" s="18" t="inlineStr">
        <is>
          <t>Blood Report</t>
        </is>
      </c>
      <c r="R63" s="9" t="inlineStr">
        <is>
          <t>40.0 – 50.0</t>
        </is>
      </c>
      <c r="S63" s="10" t="inlineStr">
        <is>
          <t>37.0 – 40.0  or  50.0 – 53.0</t>
        </is>
      </c>
      <c r="T63" s="11" t="inlineStr">
        <is>
          <t>30.0 – 37.0  or  53.0 – 60.0</t>
        </is>
      </c>
      <c r="U63" s="12" t="inlineStr">
        <is>
          <t>&lt; 30.0  or  &gt; 60.0</t>
        </is>
      </c>
      <c r="V63" s="16" t="inlineStr">
        <is>
          <t>No</t>
        </is>
      </c>
      <c r="W63" s="16" t="inlineStr">
        <is>
          <t>No</t>
        </is>
      </c>
      <c r="X63" s="25" t="inlineStr">
        <is>
          <t>U</t>
        </is>
      </c>
    </row>
    <row r="64" ht="16" customHeight="1">
      <c r="A64" s="18" t="n">
        <v>63</v>
      </c>
      <c r="B64" s="18" t="inlineStr">
        <is>
          <t>MCV</t>
        </is>
      </c>
      <c r="C64" t="inlineStr">
        <is>
          <t>Red Blood Cell Size</t>
        </is>
      </c>
      <c r="D64" s="18" t="inlineStr">
        <is>
          <t>Normal</t>
        </is>
      </c>
      <c r="E64" s="18" t="n"/>
      <c r="G64" s="18" t="n"/>
      <c r="I64" s="18" t="n"/>
      <c r="J64" t="inlineStr">
        <is>
          <t>Yes</t>
        </is>
      </c>
      <c r="K64" s="18" t="n"/>
      <c r="L64" s="18" t="n"/>
      <c r="M64" s="18" t="n"/>
      <c r="N64" s="21" t="n"/>
      <c r="O64" s="21" t="n"/>
      <c r="P64" s="18" t="inlineStr">
        <is>
          <t>Blood Test</t>
        </is>
      </c>
      <c r="Q64" s="18" t="inlineStr">
        <is>
          <t>Blood Report</t>
        </is>
      </c>
      <c r="R64" s="9" t="inlineStr">
        <is>
          <t>83.0 – 101.0</t>
        </is>
      </c>
      <c r="S64" s="10" t="inlineStr">
        <is>
          <t>77.6 – 83.0  or  101.0 – 106.4</t>
        </is>
      </c>
      <c r="T64" s="11" t="inlineStr">
        <is>
          <t>65.0 – 77.6  or  106.4 – 119.0</t>
        </is>
      </c>
      <c r="U64" s="12" t="inlineStr">
        <is>
          <t>&lt; 65.0  or  &gt; 119.0</t>
        </is>
      </c>
      <c r="V64" s="13" t="inlineStr">
        <is>
          <t>Yes</t>
        </is>
      </c>
      <c r="W64" s="14" t="inlineStr">
        <is>
          <t>Yes</t>
        </is>
      </c>
      <c r="X64" s="25" t="inlineStr">
        <is>
          <t>U</t>
        </is>
      </c>
    </row>
    <row r="65" ht="16" customHeight="1">
      <c r="A65" s="18" t="n">
        <v>64</v>
      </c>
      <c r="B65" s="18" t="inlineStr">
        <is>
          <t>RDW</t>
        </is>
      </c>
      <c r="C65" t="inlineStr">
        <is>
          <t>Red Cell Variation</t>
        </is>
      </c>
      <c r="D65" s="18" t="inlineStr">
        <is>
          <t>Normal</t>
        </is>
      </c>
      <c r="E65" s="18" t="n"/>
      <c r="G65" s="18" t="n"/>
      <c r="I65" s="18" t="n"/>
      <c r="J65" t="inlineStr">
        <is>
          <t>Yes</t>
        </is>
      </c>
      <c r="K65" s="18" t="n"/>
      <c r="L65" s="18" t="n"/>
      <c r="M65" s="18" t="n"/>
      <c r="N65" s="21" t="n"/>
      <c r="O65" s="21" t="n"/>
      <c r="P65" s="18" t="inlineStr">
        <is>
          <t>Blood Test</t>
        </is>
      </c>
      <c r="Q65" s="18" t="inlineStr">
        <is>
          <t>Blood Report</t>
        </is>
      </c>
      <c r="R65" s="9" t="inlineStr">
        <is>
          <t>11.6 – 14.0</t>
        </is>
      </c>
      <c r="S65" s="10" t="inlineStr">
        <is>
          <t>10.88 – 11.6  or  14.0 – 14.72</t>
        </is>
      </c>
      <c r="T65" s="11" t="inlineStr">
        <is>
          <t>9.2 – 10.88  or  14.72 – 16.4</t>
        </is>
      </c>
      <c r="U65" s="12" t="inlineStr">
        <is>
          <t>&lt; 9.2  or  &gt; 16.4</t>
        </is>
      </c>
      <c r="V65" s="13" t="inlineStr">
        <is>
          <t>Yes</t>
        </is>
      </c>
      <c r="W65" s="14" t="inlineStr">
        <is>
          <t>Yes</t>
        </is>
      </c>
      <c r="X65" s="25" t="inlineStr">
        <is>
          <t>U</t>
        </is>
      </c>
    </row>
    <row r="66" ht="16" customHeight="1">
      <c r="A66" s="18" t="n">
        <v>65</v>
      </c>
      <c r="B66" s="18" t="inlineStr">
        <is>
          <t>MCH</t>
        </is>
      </c>
      <c r="C66" t="inlineStr">
        <is>
          <t>Hemoglobin Per Cell</t>
        </is>
      </c>
      <c r="D66" s="18" t="inlineStr">
        <is>
          <t>Normal</t>
        </is>
      </c>
      <c r="E66" s="18" t="n"/>
      <c r="G66" s="18" t="n"/>
      <c r="I66" s="18" t="n"/>
      <c r="J66" t="inlineStr">
        <is>
          <t>Yes</t>
        </is>
      </c>
      <c r="K66" s="18" t="n"/>
      <c r="L66" s="18" t="n"/>
      <c r="M66" s="18" t="n"/>
      <c r="N66" s="21" t="n"/>
      <c r="O66" s="21" t="n"/>
      <c r="P66" s="18" t="inlineStr">
        <is>
          <t>Blood Test</t>
        </is>
      </c>
      <c r="Q66" s="18" t="inlineStr">
        <is>
          <t>Blood Report</t>
        </is>
      </c>
      <c r="R66" s="9" t="inlineStr">
        <is>
          <t>27.0 – 32.0</t>
        </is>
      </c>
      <c r="S66" s="10" t="inlineStr">
        <is>
          <t>25.5 – 27.0  or  32.0 – 33.5</t>
        </is>
      </c>
      <c r="T66" s="11" t="inlineStr">
        <is>
          <t>22.0 – 25.5  or  33.5 – 37.0</t>
        </is>
      </c>
      <c r="U66" s="12" t="inlineStr">
        <is>
          <t>&lt; 22.0  or  &gt; 37.0</t>
        </is>
      </c>
      <c r="V66" s="16" t="inlineStr">
        <is>
          <t>No</t>
        </is>
      </c>
      <c r="W66" s="16" t="inlineStr">
        <is>
          <t>No</t>
        </is>
      </c>
      <c r="X66" s="25" t="inlineStr">
        <is>
          <t>U</t>
        </is>
      </c>
    </row>
    <row r="67" ht="16" customHeight="1">
      <c r="A67" s="18" t="n">
        <v>66</v>
      </c>
      <c r="B67" s="18" t="inlineStr">
        <is>
          <t>MCHC</t>
        </is>
      </c>
      <c r="C67" t="inlineStr">
        <is>
          <t>Hemoglobin Concentration</t>
        </is>
      </c>
      <c r="D67" s="18" t="inlineStr">
        <is>
          <t>Normal</t>
        </is>
      </c>
      <c r="E67" s="18" t="n"/>
      <c r="G67" s="18" t="n"/>
      <c r="I67" s="18" t="n"/>
      <c r="J67" t="inlineStr">
        <is>
          <t>Yes</t>
        </is>
      </c>
      <c r="K67" s="18" t="n"/>
      <c r="L67" s="18" t="n"/>
      <c r="M67" s="18" t="n"/>
      <c r="N67" s="21" t="n"/>
      <c r="O67" s="21" t="n"/>
      <c r="P67" s="18" t="inlineStr">
        <is>
          <t>Blood Test</t>
        </is>
      </c>
      <c r="Q67" s="18" t="inlineStr">
        <is>
          <t>Blood Report</t>
        </is>
      </c>
      <c r="R67" s="9" t="inlineStr">
        <is>
          <t>31.5 – 34.5</t>
        </is>
      </c>
      <c r="S67" s="10" t="inlineStr">
        <is>
          <t>30.6 – 31.5  or  34.5 – 35.4</t>
        </is>
      </c>
      <c r="T67" s="11" t="inlineStr">
        <is>
          <t>28.5 – 30.6  or  35.4 – 37.5</t>
        </is>
      </c>
      <c r="U67" s="12" t="inlineStr">
        <is>
          <t>&lt; 28.5  or  &gt; 37.5</t>
        </is>
      </c>
      <c r="V67" s="16" t="inlineStr">
        <is>
          <t>No</t>
        </is>
      </c>
      <c r="W67" s="16" t="inlineStr">
        <is>
          <t>No</t>
        </is>
      </c>
      <c r="X67" s="25" t="inlineStr">
        <is>
          <t>U</t>
        </is>
      </c>
    </row>
    <row r="68" ht="16" customHeight="1">
      <c r="A68" s="18" t="n">
        <v>67</v>
      </c>
      <c r="B68" s="18" t="inlineStr">
        <is>
          <t>PSA</t>
        </is>
      </c>
      <c r="C68" t="inlineStr">
        <is>
          <t>Prostate Health Marker</t>
        </is>
      </c>
      <c r="D68" s="18" t="inlineStr">
        <is>
          <t>Normal</t>
        </is>
      </c>
      <c r="E68" s="18" t="n"/>
      <c r="G68" s="18" t="n"/>
      <c r="I68" s="18" t="n"/>
      <c r="K68" s="18" t="n"/>
      <c r="L68" s="18" t="n"/>
      <c r="M68" s="18" t="n"/>
      <c r="N68" s="21" t="n"/>
      <c r="O68" s="21" t="inlineStr">
        <is>
          <t>Yes</t>
        </is>
      </c>
      <c r="P68" s="18" t="inlineStr">
        <is>
          <t>Blood Test</t>
        </is>
      </c>
      <c r="Q68" s="18" t="inlineStr">
        <is>
          <t>Blood Report</t>
        </is>
      </c>
      <c r="R68" s="9" t="inlineStr">
        <is>
          <t>≤ 4.0</t>
        </is>
      </c>
      <c r="S68" s="10" t="inlineStr">
        <is>
          <t>4.0 – 4.8</t>
        </is>
      </c>
      <c r="T68" s="11" t="inlineStr">
        <is>
          <t>4.8 – 7.0</t>
        </is>
      </c>
      <c r="U68" s="12" t="inlineStr">
        <is>
          <t>&gt; 7.0</t>
        </is>
      </c>
      <c r="V68" s="16" t="inlineStr">
        <is>
          <t>No</t>
        </is>
      </c>
      <c r="W68" s="16" t="inlineStr">
        <is>
          <t>No</t>
        </is>
      </c>
      <c r="X68" s="25" t="inlineStr">
        <is>
          <t>M</t>
        </is>
      </c>
    </row>
    <row r="69" ht="16" customHeight="1">
      <c r="A69" s="18" t="n">
        <v>68</v>
      </c>
      <c r="B69" s="18" t="inlineStr">
        <is>
          <t>UIBC</t>
        </is>
      </c>
      <c r="C69" t="inlineStr">
        <is>
          <t>Unsaturated Iron-Binding Capacity</t>
        </is>
      </c>
      <c r="D69" s="18" t="inlineStr">
        <is>
          <t>Normal</t>
        </is>
      </c>
      <c r="E69" s="18" t="n"/>
      <c r="G69" s="18" t="n"/>
      <c r="I69" s="18" t="n"/>
      <c r="J69" t="inlineStr">
        <is>
          <t>Yes</t>
        </is>
      </c>
      <c r="K69" s="18" t="n"/>
      <c r="L69" s="18" t="n"/>
      <c r="M69" s="18" t="n"/>
      <c r="N69" s="21" t="n"/>
      <c r="O69" s="21" t="n"/>
      <c r="P69" s="18" t="inlineStr">
        <is>
          <t>Blood Test</t>
        </is>
      </c>
      <c r="Q69" s="18" t="inlineStr">
        <is>
          <t>Blood Report</t>
        </is>
      </c>
      <c r="R69" s="9" t="inlineStr">
        <is>
          <t>162.0 – 368.0</t>
        </is>
      </c>
      <c r="S69" s="10" t="inlineStr">
        <is>
          <t>100.2 – 162.0  or  368.0 – 429.8</t>
        </is>
      </c>
      <c r="T69" s="11" t="inlineStr">
        <is>
          <t>-44.0 – 100.2  or  429.8 – 574.0</t>
        </is>
      </c>
      <c r="U69" s="12" t="inlineStr">
        <is>
          <t>&lt; -44.0  or  &gt; 574.0</t>
        </is>
      </c>
      <c r="V69" s="16" t="inlineStr">
        <is>
          <t>No</t>
        </is>
      </c>
      <c r="W69" s="16" t="inlineStr">
        <is>
          <t>No</t>
        </is>
      </c>
      <c r="X69" s="25" t="inlineStr">
        <is>
          <t>U</t>
        </is>
      </c>
    </row>
    <row r="70" ht="16" customHeight="1">
      <c r="A70" s="18" t="n">
        <v>69</v>
      </c>
      <c r="B70" s="18" t="inlineStr">
        <is>
          <t>Urea/Creatinine Ratio</t>
        </is>
      </c>
      <c r="C70" t="inlineStr">
        <is>
          <t>Kidney Function &amp; Hydration</t>
        </is>
      </c>
      <c r="D70" s="18" t="inlineStr">
        <is>
          <t>Normal</t>
        </is>
      </c>
      <c r="E70" s="18" t="n"/>
      <c r="G70" s="18" t="n"/>
      <c r="I70" s="18" t="inlineStr">
        <is>
          <t>Yes</t>
        </is>
      </c>
      <c r="K70" s="18" t="n"/>
      <c r="L70" s="18" t="n"/>
      <c r="M70" s="18" t="n"/>
      <c r="N70" s="21" t="n"/>
      <c r="O70" s="21" t="n"/>
      <c r="P70" s="18" t="inlineStr">
        <is>
          <t>Blood Test</t>
        </is>
      </c>
      <c r="Q70" s="18" t="inlineStr">
        <is>
          <t>Blood Report</t>
        </is>
      </c>
      <c r="R70" s="9" t="inlineStr">
        <is>
          <t>≤ 52.0</t>
        </is>
      </c>
      <c r="S70" s="10" t="inlineStr">
        <is>
          <t>52.0 – 62.4</t>
        </is>
      </c>
      <c r="T70" s="11" t="inlineStr">
        <is>
          <t>62.4 – 91.0</t>
        </is>
      </c>
      <c r="U70" s="12" t="inlineStr">
        <is>
          <t>&gt; 91.0</t>
        </is>
      </c>
      <c r="V70" s="16" t="inlineStr">
        <is>
          <t>No</t>
        </is>
      </c>
      <c r="W70" s="16" t="inlineStr">
        <is>
          <t>No</t>
        </is>
      </c>
      <c r="X70" s="25" t="inlineStr">
        <is>
          <t>U</t>
        </is>
      </c>
    </row>
    <row r="71" ht="16" customHeight="1">
      <c r="A71" s="18" t="n">
        <v>70</v>
      </c>
      <c r="B71" s="18" t="inlineStr">
        <is>
          <t>Urea (Calculated)</t>
        </is>
      </c>
      <c r="C71" t="inlineStr">
        <is>
          <t>Kidney Function &amp; Metabolism</t>
        </is>
      </c>
      <c r="D71" s="18" t="inlineStr">
        <is>
          <t>Normal</t>
        </is>
      </c>
      <c r="E71" s="18" t="n"/>
      <c r="G71" s="18" t="n"/>
      <c r="I71" s="18" t="inlineStr">
        <is>
          <t>Yes</t>
        </is>
      </c>
      <c r="K71" s="18" t="n"/>
      <c r="L71" s="18" t="n"/>
      <c r="M71" s="18" t="n"/>
      <c r="N71" s="21" t="n"/>
      <c r="O71" s="21" t="n"/>
      <c r="P71" s="18" t="inlineStr">
        <is>
          <t>Blood Test</t>
        </is>
      </c>
      <c r="Q71" s="18" t="inlineStr">
        <is>
          <t>Blood Report</t>
        </is>
      </c>
      <c r="R71" s="9" t="inlineStr">
        <is>
          <t>17.0 – 43.0</t>
        </is>
      </c>
      <c r="S71" s="10" t="inlineStr">
        <is>
          <t>9.2 – 17.0  or  43.0 – 50.8</t>
        </is>
      </c>
      <c r="T71" s="11" t="inlineStr">
        <is>
          <t>-9.0 – 9.2  or  50.8 – 69.0</t>
        </is>
      </c>
      <c r="U71" s="12" t="inlineStr">
        <is>
          <t>&lt; -9.0  or  &gt; 69.0</t>
        </is>
      </c>
      <c r="V71" s="16" t="inlineStr">
        <is>
          <t>No</t>
        </is>
      </c>
      <c r="W71" s="16" t="inlineStr">
        <is>
          <t>No</t>
        </is>
      </c>
      <c r="X71" s="25" t="inlineStr">
        <is>
          <t>U</t>
        </is>
      </c>
    </row>
    <row r="72" ht="16" customHeight="1">
      <c r="A72" s="18" t="n">
        <v>71</v>
      </c>
      <c r="B72" s="18" t="inlineStr">
        <is>
          <t>Bilirubin (Indirect)</t>
        </is>
      </c>
      <c r="C72" t="inlineStr">
        <is>
          <t>Liver &amp; RBC Health</t>
        </is>
      </c>
      <c r="D72" s="18" t="inlineStr">
        <is>
          <t>Normal</t>
        </is>
      </c>
      <c r="E72" s="18" t="n"/>
      <c r="G72" s="18" t="inlineStr">
        <is>
          <t>Yes</t>
        </is>
      </c>
      <c r="I72" s="18" t="n"/>
      <c r="K72" s="18" t="n"/>
      <c r="L72" s="18" t="n"/>
      <c r="M72" s="18" t="n"/>
      <c r="N72" s="21" t="n"/>
      <c r="O72" s="21" t="n"/>
      <c r="P72" s="18" t="inlineStr">
        <is>
          <t>Blood Test</t>
        </is>
      </c>
      <c r="Q72" s="18" t="inlineStr">
        <is>
          <t>Blood Report</t>
        </is>
      </c>
      <c r="R72" s="9" t="inlineStr">
        <is>
          <t>0.0 – 0.9</t>
        </is>
      </c>
      <c r="S72" s="10" t="inlineStr">
        <is>
          <t>-0.27 – 0.0  or  0.9 – 1.17</t>
        </is>
      </c>
      <c r="T72" s="11" t="inlineStr">
        <is>
          <t>-0.9 – -0.27  or  1.17 – 1.8</t>
        </is>
      </c>
      <c r="U72" s="12" t="inlineStr">
        <is>
          <t>&lt; -0.9  or  &gt; 1.8</t>
        </is>
      </c>
      <c r="V72" s="16" t="inlineStr">
        <is>
          <t>No</t>
        </is>
      </c>
      <c r="W72" s="16" t="inlineStr">
        <is>
          <t>No</t>
        </is>
      </c>
      <c r="X72" s="25" t="inlineStr">
        <is>
          <t>U</t>
        </is>
      </c>
    </row>
    <row r="73" ht="16" customHeight="1">
      <c r="A73" s="18" t="n">
        <v>72</v>
      </c>
      <c r="B73" s="18" t="inlineStr">
        <is>
          <t>Urinary Microalbumin</t>
        </is>
      </c>
      <c r="C73" t="inlineStr">
        <is>
          <t>Early Kidney Damage Marker</t>
        </is>
      </c>
      <c r="D73" s="18" t="inlineStr">
        <is>
          <t>Normal</t>
        </is>
      </c>
      <c r="E73" s="18" t="n"/>
      <c r="G73" s="18" t="n"/>
      <c r="I73" s="18" t="inlineStr">
        <is>
          <t>Yes</t>
        </is>
      </c>
      <c r="K73" s="18" t="n"/>
      <c r="L73" s="18" t="n"/>
      <c r="M73" s="18" t="n"/>
      <c r="N73" s="21" t="n"/>
      <c r="O73" s="21" t="n"/>
      <c r="P73" s="18" t="inlineStr">
        <is>
          <t>Urine Analysis</t>
        </is>
      </c>
      <c r="Q73" s="18" t="inlineStr">
        <is>
          <t>Urine Analysis</t>
        </is>
      </c>
      <c r="R73" s="9" t="inlineStr">
        <is>
          <t>≤ 20.0</t>
        </is>
      </c>
      <c r="S73" s="10" t="inlineStr">
        <is>
          <t>20.0 – 24.0</t>
        </is>
      </c>
      <c r="T73" s="11" t="inlineStr">
        <is>
          <t>24.0 – 35.0</t>
        </is>
      </c>
      <c r="U73" s="12" t="inlineStr">
        <is>
          <t>&gt; 35.0</t>
        </is>
      </c>
      <c r="V73" s="16" t="inlineStr">
        <is>
          <t>No</t>
        </is>
      </c>
      <c r="W73" s="16" t="inlineStr">
        <is>
          <t>No</t>
        </is>
      </c>
      <c r="X73" s="25" t="inlineStr">
        <is>
          <t>U</t>
        </is>
      </c>
    </row>
    <row r="74" ht="16" customHeight="1">
      <c r="A74" s="18" t="n">
        <v>73</v>
      </c>
      <c r="B74" s="18" t="inlineStr">
        <is>
          <t>Urinary Leucocytes</t>
        </is>
      </c>
      <c r="C74" t="inlineStr">
        <is>
          <t>Urine WBC</t>
        </is>
      </c>
      <c r="D74" s="18" t="inlineStr">
        <is>
          <t>Normal</t>
        </is>
      </c>
      <c r="E74" s="18" t="n"/>
      <c r="G74" s="18" t="n"/>
      <c r="I74" s="18" t="inlineStr">
        <is>
          <t>Yes</t>
        </is>
      </c>
      <c r="K74" s="18" t="n"/>
      <c r="L74" s="18" t="n"/>
      <c r="M74" s="18" t="n"/>
      <c r="N74" s="21" t="n"/>
      <c r="O74" s="21" t="n"/>
      <c r="P74" s="18" t="inlineStr">
        <is>
          <t>Urine Analysis</t>
        </is>
      </c>
      <c r="Q74" s="18" t="inlineStr">
        <is>
          <t>Urine Analysis</t>
        </is>
      </c>
      <c r="R74" s="9" t="inlineStr">
        <is>
          <t>Negative</t>
        </is>
      </c>
      <c r="S74" s="10" t="inlineStr">
        <is>
          <t>Any positive finding</t>
        </is>
      </c>
      <c r="T74" s="11" t="inlineStr">
        <is>
          <t>Significant finding</t>
        </is>
      </c>
      <c r="U74" s="12" t="inlineStr">
        <is>
          <t>Severe finding</t>
        </is>
      </c>
      <c r="V74" s="16" t="inlineStr">
        <is>
          <t>No</t>
        </is>
      </c>
      <c r="W74" s="16" t="inlineStr">
        <is>
          <t>No</t>
        </is>
      </c>
      <c r="X74" s="25" t="inlineStr">
        <is>
          <t>U</t>
        </is>
      </c>
    </row>
    <row r="75" ht="16" customHeight="1">
      <c r="A75" s="18" t="n">
        <v>74</v>
      </c>
      <c r="B75" s="18" t="inlineStr">
        <is>
          <t>Mucus</t>
        </is>
      </c>
      <c r="C75" t="inlineStr">
        <is>
          <t>Urinary Mucus</t>
        </is>
      </c>
      <c r="D75" s="18" t="inlineStr">
        <is>
          <t>Normal</t>
        </is>
      </c>
      <c r="E75" s="18" t="n"/>
      <c r="G75" s="18" t="n"/>
      <c r="I75" s="18" t="inlineStr">
        <is>
          <t>Yes</t>
        </is>
      </c>
      <c r="K75" s="18" t="n"/>
      <c r="L75" s="18" t="n"/>
      <c r="M75" s="18" t="n"/>
      <c r="N75" s="21" t="n"/>
      <c r="O75" s="21" t="n"/>
      <c r="P75" s="18" t="inlineStr">
        <is>
          <t>Urine Analysis</t>
        </is>
      </c>
      <c r="Q75" s="18" t="inlineStr">
        <is>
          <t>Urine Analysis</t>
        </is>
      </c>
      <c r="R75" s="9" t="n"/>
      <c r="S75" s="10" t="inlineStr">
        <is>
          <t>Any positive finding</t>
        </is>
      </c>
      <c r="T75" s="11" t="inlineStr">
        <is>
          <t>Significant finding</t>
        </is>
      </c>
      <c r="U75" s="12" t="inlineStr">
        <is>
          <t>Severe finding</t>
        </is>
      </c>
      <c r="V75" s="16" t="inlineStr">
        <is>
          <t>No</t>
        </is>
      </c>
      <c r="W75" s="16" t="inlineStr">
        <is>
          <t>No</t>
        </is>
      </c>
      <c r="X75" s="25" t="inlineStr">
        <is>
          <t>U</t>
        </is>
      </c>
    </row>
    <row r="76" ht="16" customHeight="1">
      <c r="A76" s="18" t="n">
        <v>75</v>
      </c>
      <c r="B76" s="18" t="inlineStr">
        <is>
          <t>Parasite</t>
        </is>
      </c>
      <c r="C76" t="inlineStr">
        <is>
          <t>Urinary Parasites</t>
        </is>
      </c>
      <c r="D76" s="18" t="inlineStr">
        <is>
          <t>Normal</t>
        </is>
      </c>
      <c r="E76" s="18" t="n"/>
      <c r="G76" s="18" t="n"/>
      <c r="I76" s="18" t="inlineStr">
        <is>
          <t>Yes</t>
        </is>
      </c>
      <c r="K76" s="18" t="n"/>
      <c r="L76" s="18" t="n"/>
      <c r="M76" s="18" t="n"/>
      <c r="N76" s="21" t="n"/>
      <c r="O76" s="21" t="n"/>
      <c r="P76" s="18" t="inlineStr">
        <is>
          <t>Urine Analysis</t>
        </is>
      </c>
      <c r="Q76" s="18" t="inlineStr">
        <is>
          <t>Urine Analysis</t>
        </is>
      </c>
      <c r="R76" s="9" t="n"/>
      <c r="S76" s="10" t="inlineStr">
        <is>
          <t>Any positive finding</t>
        </is>
      </c>
      <c r="T76" s="11" t="inlineStr">
        <is>
          <t>Significant finding</t>
        </is>
      </c>
      <c r="U76" s="12" t="inlineStr">
        <is>
          <t>Severe finding</t>
        </is>
      </c>
      <c r="V76" s="16" t="inlineStr">
        <is>
          <t>No</t>
        </is>
      </c>
      <c r="W76" s="16" t="inlineStr">
        <is>
          <t>No</t>
        </is>
      </c>
      <c r="X76" s="25" t="inlineStr">
        <is>
          <t>U</t>
        </is>
      </c>
    </row>
    <row r="77" ht="16" customHeight="1">
      <c r="A77" s="18" t="n">
        <v>76</v>
      </c>
      <c r="B77" s="18" t="inlineStr">
        <is>
          <t>Basophils - Count</t>
        </is>
      </c>
      <c r="C77" t="inlineStr">
        <is>
          <t>Basophil Absolute Count</t>
        </is>
      </c>
      <c r="D77" s="18" t="inlineStr">
        <is>
          <t>Normal</t>
        </is>
      </c>
      <c r="E77" s="18" t="n"/>
      <c r="G77" s="18" t="n"/>
      <c r="I77" s="18" t="n"/>
      <c r="J77" t="inlineStr">
        <is>
          <t>Yes</t>
        </is>
      </c>
      <c r="K77" s="18" t="n"/>
      <c r="L77" s="18" t="n"/>
      <c r="M77" s="18" t="n"/>
      <c r="N77" s="21" t="n"/>
      <c r="O77" s="21" t="n"/>
      <c r="P77" s="18" t="inlineStr">
        <is>
          <t>Blood Test</t>
        </is>
      </c>
      <c r="Q77" s="18" t="inlineStr">
        <is>
          <t>Blood Report</t>
        </is>
      </c>
      <c r="R77" s="9" t="inlineStr">
        <is>
          <t>0.0 – 0.1</t>
        </is>
      </c>
      <c r="S77" s="10" t="inlineStr">
        <is>
          <t>-0.03 – 0.0  or  0.1 – 0.13</t>
        </is>
      </c>
      <c r="T77" s="11" t="inlineStr">
        <is>
          <t>-0.1 – -0.03  or  0.13 – 0.2</t>
        </is>
      </c>
      <c r="U77" s="12" t="inlineStr">
        <is>
          <t>&lt; -0.1  or  &gt; 0.2</t>
        </is>
      </c>
      <c r="V77" s="16" t="inlineStr">
        <is>
          <t>No</t>
        </is>
      </c>
      <c r="W77" s="16" t="inlineStr">
        <is>
          <t>No</t>
        </is>
      </c>
      <c r="X77" s="25" t="inlineStr">
        <is>
          <t>U</t>
        </is>
      </c>
      <c r="Y77">
        <f> Basophils (%)</f>
        <v/>
      </c>
    </row>
    <row r="78" ht="16" customHeight="1">
      <c r="A78" s="18" t="n">
        <v>77</v>
      </c>
      <c r="B78" s="18" t="inlineStr">
        <is>
          <t>Urine Ketone</t>
        </is>
      </c>
      <c r="C78" t="inlineStr">
        <is>
          <t>Urinary Ketones</t>
        </is>
      </c>
      <c r="D78" s="18" t="inlineStr">
        <is>
          <t>Normal</t>
        </is>
      </c>
      <c r="E78" s="18" t="n"/>
      <c r="G78" s="18" t="n"/>
      <c r="I78" s="18" t="inlineStr">
        <is>
          <t>Yes</t>
        </is>
      </c>
      <c r="K78" s="18" t="n"/>
      <c r="L78" s="18" t="n"/>
      <c r="M78" s="18" t="n"/>
      <c r="N78" s="21" t="n"/>
      <c r="O78" s="21" t="n"/>
      <c r="P78" s="18" t="inlineStr">
        <is>
          <t>Urine Analysis</t>
        </is>
      </c>
      <c r="Q78" s="18" t="inlineStr">
        <is>
          <t>Urine Analysis</t>
        </is>
      </c>
      <c r="R78" s="9" t="inlineStr">
        <is>
          <t>Negative</t>
        </is>
      </c>
      <c r="S78" s="10" t="inlineStr">
        <is>
          <t>Any positive finding</t>
        </is>
      </c>
      <c r="T78" s="11" t="inlineStr">
        <is>
          <t>Significant finding</t>
        </is>
      </c>
      <c r="U78" s="12" t="inlineStr">
        <is>
          <t>Severe finding</t>
        </is>
      </c>
      <c r="V78" s="16" t="inlineStr">
        <is>
          <t>No</t>
        </is>
      </c>
      <c r="W78" s="16" t="inlineStr">
        <is>
          <t>No</t>
        </is>
      </c>
      <c r="X78" s="25" t="inlineStr">
        <is>
          <t>U</t>
        </is>
      </c>
    </row>
    <row r="79" ht="16" customHeight="1">
      <c r="A79" s="18" t="n">
        <v>78</v>
      </c>
      <c r="B79" s="18" t="inlineStr">
        <is>
          <t>Epithelial Cells</t>
        </is>
      </c>
      <c r="C79" t="inlineStr">
        <is>
          <t>Urinary Epithelial Cells</t>
        </is>
      </c>
      <c r="D79" s="18" t="inlineStr">
        <is>
          <t>Normal</t>
        </is>
      </c>
      <c r="E79" s="18" t="n"/>
      <c r="G79" s="18" t="n"/>
      <c r="I79" s="18" t="inlineStr">
        <is>
          <t>Yes</t>
        </is>
      </c>
      <c r="K79" s="18" t="n"/>
      <c r="L79" s="18" t="n"/>
      <c r="M79" s="18" t="n"/>
      <c r="N79" s="21" t="n"/>
      <c r="O79" s="21" t="n"/>
      <c r="P79" s="18" t="inlineStr">
        <is>
          <t>Urine Analysis</t>
        </is>
      </c>
      <c r="Q79" s="18" t="inlineStr">
        <is>
          <t>Urine Analysis</t>
        </is>
      </c>
      <c r="R79" s="9" t="inlineStr">
        <is>
          <t>0.0 – 5.0</t>
        </is>
      </c>
      <c r="S79" s="10" t="inlineStr">
        <is>
          <t>-1.5 – 0.0  or  5.0 – 6.5</t>
        </is>
      </c>
      <c r="T79" s="11" t="inlineStr">
        <is>
          <t>-5.0 – -1.5  or  6.5 – 10.0</t>
        </is>
      </c>
      <c r="U79" s="12" t="inlineStr">
        <is>
          <t>&lt; -5.0  or  &gt; 10.0</t>
        </is>
      </c>
      <c r="V79" s="16" t="inlineStr">
        <is>
          <t>No</t>
        </is>
      </c>
      <c r="W79" s="16" t="inlineStr">
        <is>
          <t>No</t>
        </is>
      </c>
      <c r="X79" s="25" t="inlineStr">
        <is>
          <t>U</t>
        </is>
      </c>
    </row>
    <row r="80" ht="16" customHeight="1">
      <c r="A80" s="18" t="n">
        <v>79</v>
      </c>
      <c r="B80" s="18" t="inlineStr">
        <is>
          <t>Crystals</t>
        </is>
      </c>
      <c r="C80" t="inlineStr">
        <is>
          <t>Urinary Crystals</t>
        </is>
      </c>
      <c r="D80" s="18" t="inlineStr">
        <is>
          <t>Normal</t>
        </is>
      </c>
      <c r="E80" s="18" t="n"/>
      <c r="G80" s="18" t="n"/>
      <c r="I80" s="18" t="inlineStr">
        <is>
          <t>Yes</t>
        </is>
      </c>
      <c r="K80" s="18" t="n"/>
      <c r="L80" s="18" t="n"/>
      <c r="M80" s="18" t="n"/>
      <c r="N80" s="21" t="n"/>
      <c r="O80" s="21" t="n"/>
      <c r="P80" s="18" t="inlineStr">
        <is>
          <t>Urine Analysis</t>
        </is>
      </c>
      <c r="Q80" s="18" t="inlineStr">
        <is>
          <t>Urine Analysis</t>
        </is>
      </c>
      <c r="R80" s="9" t="n"/>
      <c r="S80" s="10" t="inlineStr">
        <is>
          <t>Any positive finding</t>
        </is>
      </c>
      <c r="T80" s="11" t="inlineStr">
        <is>
          <t>Significant finding</t>
        </is>
      </c>
      <c r="U80" s="12" t="inlineStr">
        <is>
          <t>Severe finding</t>
        </is>
      </c>
      <c r="V80" s="16" t="inlineStr">
        <is>
          <t>No</t>
        </is>
      </c>
      <c r="W80" s="16" t="inlineStr">
        <is>
          <t>No</t>
        </is>
      </c>
      <c r="X80" s="25" t="inlineStr">
        <is>
          <t>U</t>
        </is>
      </c>
    </row>
    <row r="81" ht="16" customHeight="1">
      <c r="A81" s="18" t="n">
        <v>80</v>
      </c>
      <c r="B81" s="18" t="inlineStr">
        <is>
          <t>Colour</t>
        </is>
      </c>
      <c r="C81" t="inlineStr">
        <is>
          <t>Urine Colour</t>
        </is>
      </c>
      <c r="D81" s="18" t="inlineStr">
        <is>
          <t>Normal</t>
        </is>
      </c>
      <c r="E81" s="18" t="n"/>
      <c r="G81" s="18" t="n"/>
      <c r="I81" s="18" t="inlineStr">
        <is>
          <t>Yes</t>
        </is>
      </c>
      <c r="K81" s="18" t="n"/>
      <c r="L81" s="18" t="n"/>
      <c r="M81" s="18" t="n"/>
      <c r="N81" s="21" t="n"/>
      <c r="O81" s="21" t="n"/>
      <c r="P81" s="18" t="inlineStr">
        <is>
          <t>Urine Analysis</t>
        </is>
      </c>
      <c r="Q81" s="18" t="inlineStr">
        <is>
          <t>Urine Analysis</t>
        </is>
      </c>
      <c r="R81" s="9" t="inlineStr">
        <is>
          <t>Pale Yellow</t>
        </is>
      </c>
      <c r="S81" s="10" t="inlineStr">
        <is>
          <t>Any positive finding</t>
        </is>
      </c>
      <c r="T81" s="11" t="inlineStr">
        <is>
          <t>Significant finding</t>
        </is>
      </c>
      <c r="U81" s="12" t="inlineStr">
        <is>
          <t>Severe finding</t>
        </is>
      </c>
      <c r="V81" s="16" t="inlineStr">
        <is>
          <t>No</t>
        </is>
      </c>
      <c r="W81" s="16" t="inlineStr">
        <is>
          <t>No</t>
        </is>
      </c>
      <c r="X81" s="25" t="inlineStr">
        <is>
          <t>U</t>
        </is>
      </c>
    </row>
    <row r="82" ht="16" customHeight="1">
      <c r="A82" s="18" t="n">
        <v>81</v>
      </c>
      <c r="B82" s="18" t="inlineStr">
        <is>
          <t>Casts</t>
        </is>
      </c>
      <c r="C82" t="inlineStr">
        <is>
          <t>Urinary Casts</t>
        </is>
      </c>
      <c r="D82" s="18" t="inlineStr">
        <is>
          <t>Normal</t>
        </is>
      </c>
      <c r="E82" s="18" t="n"/>
      <c r="G82" s="18" t="n"/>
      <c r="I82" s="18" t="inlineStr">
        <is>
          <t>Yes</t>
        </is>
      </c>
      <c r="K82" s="18" t="n"/>
      <c r="L82" s="18" t="n"/>
      <c r="M82" s="18" t="n"/>
      <c r="N82" s="21" t="n"/>
      <c r="O82" s="21" t="n"/>
      <c r="P82" s="18" t="inlineStr">
        <is>
          <t>Urine Analysis</t>
        </is>
      </c>
      <c r="Q82" s="18" t="inlineStr">
        <is>
          <t>Urine Analysis</t>
        </is>
      </c>
      <c r="R82" s="9" t="n"/>
      <c r="S82" s="10" t="inlineStr">
        <is>
          <t>Any positive finding</t>
        </is>
      </c>
      <c r="T82" s="11" t="inlineStr">
        <is>
          <t>Significant finding</t>
        </is>
      </c>
      <c r="U82" s="12" t="inlineStr">
        <is>
          <t>Severe finding</t>
        </is>
      </c>
      <c r="V82" s="16" t="inlineStr">
        <is>
          <t>No</t>
        </is>
      </c>
      <c r="W82" s="16" t="inlineStr">
        <is>
          <t>No</t>
        </is>
      </c>
      <c r="X82" s="25" t="inlineStr">
        <is>
          <t>U</t>
        </is>
      </c>
    </row>
    <row r="83" ht="16" customHeight="1">
      <c r="A83" s="18" t="n">
        <v>82</v>
      </c>
      <c r="B83" s="18" t="inlineStr">
        <is>
          <t>Bile Salt</t>
        </is>
      </c>
      <c r="C83" t="inlineStr">
        <is>
          <t>Urinary Bile Salts</t>
        </is>
      </c>
      <c r="D83" s="18" t="inlineStr">
        <is>
          <t>Normal</t>
        </is>
      </c>
      <c r="E83" s="18" t="n"/>
      <c r="G83" s="18" t="n"/>
      <c r="I83" s="18" t="inlineStr">
        <is>
          <t>Yes</t>
        </is>
      </c>
      <c r="K83" s="18" t="n"/>
      <c r="L83" s="18" t="n"/>
      <c r="M83" s="18" t="n"/>
      <c r="N83" s="21" t="n"/>
      <c r="O83" s="21" t="n"/>
      <c r="P83" s="18" t="inlineStr">
        <is>
          <t>Urine Analysis</t>
        </is>
      </c>
      <c r="Q83" s="18" t="inlineStr">
        <is>
          <t>Urine Analysis</t>
        </is>
      </c>
      <c r="R83" s="9" t="inlineStr">
        <is>
          <t>Absent</t>
        </is>
      </c>
      <c r="S83" s="10" t="inlineStr">
        <is>
          <t>Any positive finding</t>
        </is>
      </c>
      <c r="T83" s="11" t="inlineStr">
        <is>
          <t>Significant finding</t>
        </is>
      </c>
      <c r="U83" s="12" t="inlineStr">
        <is>
          <t>Severe finding</t>
        </is>
      </c>
      <c r="V83" s="16" t="inlineStr">
        <is>
          <t>No</t>
        </is>
      </c>
      <c r="W83" s="16" t="inlineStr">
        <is>
          <t>No</t>
        </is>
      </c>
      <c r="X83" s="25" t="inlineStr">
        <is>
          <t>U</t>
        </is>
      </c>
    </row>
    <row r="84" ht="16" customHeight="1">
      <c r="A84" s="18" t="n">
        <v>83</v>
      </c>
      <c r="B84" s="18" t="inlineStr">
        <is>
          <t>Bile Pigment</t>
        </is>
      </c>
      <c r="C84" t="inlineStr">
        <is>
          <t>Urinary Bile Pigments</t>
        </is>
      </c>
      <c r="D84" s="18" t="inlineStr">
        <is>
          <t>Normal</t>
        </is>
      </c>
      <c r="E84" s="18" t="n"/>
      <c r="G84" s="18" t="n"/>
      <c r="I84" s="18" t="inlineStr">
        <is>
          <t>Yes</t>
        </is>
      </c>
      <c r="K84" s="18" t="n"/>
      <c r="L84" s="18" t="n"/>
      <c r="M84" s="18" t="n"/>
      <c r="N84" s="21" t="n"/>
      <c r="O84" s="21" t="n"/>
      <c r="P84" s="18" t="inlineStr">
        <is>
          <t>Urine Analysis</t>
        </is>
      </c>
      <c r="Q84" s="18" t="inlineStr">
        <is>
          <t>Urine Analysis</t>
        </is>
      </c>
      <c r="R84" s="9" t="inlineStr">
        <is>
          <t>Absent</t>
        </is>
      </c>
      <c r="S84" s="10" t="inlineStr">
        <is>
          <t>Any positive finding</t>
        </is>
      </c>
      <c r="T84" s="11" t="inlineStr">
        <is>
          <t>Significant finding</t>
        </is>
      </c>
      <c r="U84" s="12" t="inlineStr">
        <is>
          <t>Severe finding</t>
        </is>
      </c>
      <c r="V84" s="16" t="inlineStr">
        <is>
          <t>No</t>
        </is>
      </c>
      <c r="W84" s="16" t="inlineStr">
        <is>
          <t>No</t>
        </is>
      </c>
      <c r="X84" s="25" t="inlineStr">
        <is>
          <t>U</t>
        </is>
      </c>
    </row>
    <row r="85" ht="16" customHeight="1">
      <c r="A85" s="18" t="n">
        <v>84</v>
      </c>
      <c r="B85" s="18" t="inlineStr">
        <is>
          <t>pH</t>
        </is>
      </c>
      <c r="C85" t="inlineStr">
        <is>
          <t>Urine pH</t>
        </is>
      </c>
      <c r="D85" s="18" t="inlineStr">
        <is>
          <t>Normal</t>
        </is>
      </c>
      <c r="E85" s="18" t="n"/>
      <c r="G85" s="18" t="n"/>
      <c r="I85" s="18" t="inlineStr">
        <is>
          <t>Yes</t>
        </is>
      </c>
      <c r="K85" s="18" t="n"/>
      <c r="L85" s="18" t="n"/>
      <c r="M85" s="18" t="n"/>
      <c r="N85" s="21" t="n"/>
      <c r="O85" s="21" t="n"/>
      <c r="P85" s="18" t="inlineStr">
        <is>
          <t>Urine Analysis</t>
        </is>
      </c>
      <c r="Q85" s="18" t="inlineStr">
        <is>
          <t>Urine Analysis</t>
        </is>
      </c>
      <c r="R85" s="9" t="inlineStr">
        <is>
          <t>4.5 – 8.0</t>
        </is>
      </c>
      <c r="S85" s="10" t="inlineStr">
        <is>
          <t>3.45 – 4.5  or  8.0 – 9.05</t>
        </is>
      </c>
      <c r="T85" s="11" t="inlineStr">
        <is>
          <t>1.0 – 3.45  or  9.05 – 11.5</t>
        </is>
      </c>
      <c r="U85" s="12" t="inlineStr">
        <is>
          <t>&lt; 1.0  or  &gt; 11.5</t>
        </is>
      </c>
      <c r="V85" s="16" t="inlineStr">
        <is>
          <t>No</t>
        </is>
      </c>
      <c r="W85" s="16" t="inlineStr">
        <is>
          <t>No</t>
        </is>
      </c>
      <c r="X85" s="25" t="inlineStr">
        <is>
          <t>U</t>
        </is>
      </c>
    </row>
    <row r="86" ht="16" customHeight="1">
      <c r="A86" s="18" t="n">
        <v>85</v>
      </c>
      <c r="B86" s="18" t="inlineStr">
        <is>
          <t>Urinary Protein</t>
        </is>
      </c>
      <c r="C86" t="inlineStr">
        <is>
          <t>Urine Protein</t>
        </is>
      </c>
      <c r="D86" s="18" t="inlineStr">
        <is>
          <t>Normal</t>
        </is>
      </c>
      <c r="E86" s="18" t="n"/>
      <c r="G86" s="18" t="n"/>
      <c r="I86" s="18" t="inlineStr">
        <is>
          <t>Yes</t>
        </is>
      </c>
      <c r="K86" s="18" t="n"/>
      <c r="L86" s="18" t="n"/>
      <c r="M86" s="18" t="n"/>
      <c r="N86" s="21" t="n"/>
      <c r="O86" s="21" t="n"/>
      <c r="P86" s="18" t="inlineStr">
        <is>
          <t>Urine Analysis</t>
        </is>
      </c>
      <c r="Q86" s="18" t="inlineStr">
        <is>
          <t>Urine Analysis</t>
        </is>
      </c>
      <c r="R86" s="9" t="inlineStr">
        <is>
          <t>Negative</t>
        </is>
      </c>
      <c r="S86" s="10" t="inlineStr">
        <is>
          <t>Any positive finding</t>
        </is>
      </c>
      <c r="T86" s="11" t="inlineStr">
        <is>
          <t>Significant finding</t>
        </is>
      </c>
      <c r="U86" s="12" t="inlineStr">
        <is>
          <t>Severe finding</t>
        </is>
      </c>
      <c r="V86" s="16" t="inlineStr">
        <is>
          <t>No</t>
        </is>
      </c>
      <c r="W86" s="16" t="inlineStr">
        <is>
          <t>No</t>
        </is>
      </c>
      <c r="X86" s="25" t="inlineStr">
        <is>
          <t>U</t>
        </is>
      </c>
    </row>
    <row r="87" ht="16" customHeight="1">
      <c r="A87" s="18" t="n">
        <v>86</v>
      </c>
      <c r="B87" s="18" t="inlineStr">
        <is>
          <t>Red Blood Cells</t>
        </is>
      </c>
      <c r="C87" t="inlineStr">
        <is>
          <t>Urinary RBC</t>
        </is>
      </c>
      <c r="D87" s="18" t="inlineStr">
        <is>
          <t>Normal</t>
        </is>
      </c>
      <c r="E87" s="18" t="n"/>
      <c r="G87" s="18" t="n"/>
      <c r="I87" s="18" t="inlineStr">
        <is>
          <t>Yes</t>
        </is>
      </c>
      <c r="K87" s="18" t="n"/>
      <c r="L87" s="18" t="n"/>
      <c r="M87" s="18" t="n"/>
      <c r="N87" s="21" t="n"/>
      <c r="O87" s="21" t="n"/>
      <c r="P87" s="18" t="inlineStr">
        <is>
          <t>Urine Analysis</t>
        </is>
      </c>
      <c r="Q87" s="18" t="inlineStr">
        <is>
          <t>Urine Analysis</t>
        </is>
      </c>
      <c r="R87" s="9" t="inlineStr">
        <is>
          <t>0.0 – 3.0</t>
        </is>
      </c>
      <c r="S87" s="10" t="inlineStr">
        <is>
          <t>-0.9 – 0.0  or  3.0 – 3.9</t>
        </is>
      </c>
      <c r="T87" s="11" t="inlineStr">
        <is>
          <t>-3.0 – -0.9  or  3.9 – 6.0</t>
        </is>
      </c>
      <c r="U87" s="12" t="inlineStr">
        <is>
          <t>&lt; -3.0  or  &gt; 6.0</t>
        </is>
      </c>
      <c r="V87" s="16" t="inlineStr">
        <is>
          <t>No</t>
        </is>
      </c>
      <c r="W87" s="16" t="inlineStr">
        <is>
          <t>No</t>
        </is>
      </c>
      <c r="X87" s="25" t="inlineStr">
        <is>
          <t>U</t>
        </is>
      </c>
    </row>
    <row r="88" ht="16" customHeight="1">
      <c r="A88" s="18" t="n">
        <v>87</v>
      </c>
      <c r="B88" s="18" t="inlineStr">
        <is>
          <t>Yeast</t>
        </is>
      </c>
      <c r="C88" t="inlineStr">
        <is>
          <t>Urinary Yeast</t>
        </is>
      </c>
      <c r="D88" s="18" t="inlineStr">
        <is>
          <t>Normal</t>
        </is>
      </c>
      <c r="E88" s="18" t="n"/>
      <c r="G88" s="18" t="n"/>
      <c r="I88" s="18" t="inlineStr">
        <is>
          <t>Yes</t>
        </is>
      </c>
      <c r="K88" s="18" t="n"/>
      <c r="L88" s="18" t="n"/>
      <c r="M88" s="18" t="n"/>
      <c r="N88" s="21" t="n"/>
      <c r="O88" s="21" t="n"/>
      <c r="P88" s="18" t="inlineStr">
        <is>
          <t>Urine Analysis</t>
        </is>
      </c>
      <c r="Q88" s="18" t="inlineStr">
        <is>
          <t>Urine Analysis</t>
        </is>
      </c>
      <c r="R88" s="9" t="inlineStr">
        <is>
          <t>Absent</t>
        </is>
      </c>
      <c r="S88" s="10" t="inlineStr">
        <is>
          <t>Any positive finding</t>
        </is>
      </c>
      <c r="T88" s="11" t="inlineStr">
        <is>
          <t>Significant finding</t>
        </is>
      </c>
      <c r="U88" s="12" t="inlineStr">
        <is>
          <t>Severe finding</t>
        </is>
      </c>
      <c r="V88" s="16" t="inlineStr">
        <is>
          <t>No</t>
        </is>
      </c>
      <c r="W88" s="16" t="inlineStr">
        <is>
          <t>No</t>
        </is>
      </c>
      <c r="X88" s="25" t="inlineStr">
        <is>
          <t>U</t>
        </is>
      </c>
    </row>
    <row r="89" ht="16" customHeight="1">
      <c r="A89" s="18" t="n">
        <v>88</v>
      </c>
      <c r="B89" s="18" t="inlineStr">
        <is>
          <t>Bacteria</t>
        </is>
      </c>
      <c r="C89" t="inlineStr">
        <is>
          <t>Urinary Bacteria</t>
        </is>
      </c>
      <c r="D89" s="18" t="inlineStr">
        <is>
          <t>Normal</t>
        </is>
      </c>
      <c r="E89" s="18" t="n"/>
      <c r="G89" s="18" t="n"/>
      <c r="I89" s="18" t="inlineStr">
        <is>
          <t>Yes</t>
        </is>
      </c>
      <c r="K89" s="18" t="n"/>
      <c r="L89" s="18" t="n"/>
      <c r="M89" s="18" t="n"/>
      <c r="N89" s="21" t="n"/>
      <c r="O89" s="21" t="n"/>
      <c r="P89" s="18" t="inlineStr">
        <is>
          <t>Urine Analysis</t>
        </is>
      </c>
      <c r="Q89" s="18" t="inlineStr">
        <is>
          <t>Urine Analysis</t>
        </is>
      </c>
      <c r="R89" s="9" t="n"/>
      <c r="S89" s="10" t="inlineStr">
        <is>
          <t>Any positive finding</t>
        </is>
      </c>
      <c r="T89" s="11" t="inlineStr">
        <is>
          <t>Significant finding</t>
        </is>
      </c>
      <c r="U89" s="12" t="inlineStr">
        <is>
          <t>Severe finding</t>
        </is>
      </c>
      <c r="V89" s="16" t="inlineStr">
        <is>
          <t>No</t>
        </is>
      </c>
      <c r="W89" s="16" t="inlineStr">
        <is>
          <t>No</t>
        </is>
      </c>
      <c r="X89" s="25" t="inlineStr">
        <is>
          <t>U</t>
        </is>
      </c>
    </row>
    <row r="90" ht="16" customHeight="1">
      <c r="A90" s="18" t="n">
        <v>89</v>
      </c>
      <c r="B90" s="18" t="inlineStr">
        <is>
          <t>Urinary Bilirubin</t>
        </is>
      </c>
      <c r="C90" t="inlineStr">
        <is>
          <t>Urinary Bilirubin</t>
        </is>
      </c>
      <c r="D90" s="18" t="inlineStr">
        <is>
          <t>Normal</t>
        </is>
      </c>
      <c r="E90" s="18" t="n"/>
      <c r="G90" s="18" t="n"/>
      <c r="I90" s="18" t="inlineStr">
        <is>
          <t>Yes</t>
        </is>
      </c>
      <c r="K90" s="18" t="n"/>
      <c r="L90" s="18" t="n"/>
      <c r="M90" s="18" t="n"/>
      <c r="N90" s="21" t="n"/>
      <c r="O90" s="21" t="n"/>
      <c r="P90" s="18" t="inlineStr">
        <is>
          <t>Urine Analysis</t>
        </is>
      </c>
      <c r="Q90" s="18" t="inlineStr">
        <is>
          <t>Urine Analysis</t>
        </is>
      </c>
      <c r="R90" s="9" t="inlineStr">
        <is>
          <t>Negative</t>
        </is>
      </c>
      <c r="S90" s="10" t="inlineStr">
        <is>
          <t>Any positive finding</t>
        </is>
      </c>
      <c r="T90" s="11" t="inlineStr">
        <is>
          <t>Significant finding</t>
        </is>
      </c>
      <c r="U90" s="12" t="inlineStr">
        <is>
          <t>Severe finding</t>
        </is>
      </c>
      <c r="V90" s="16" t="inlineStr">
        <is>
          <t>No</t>
        </is>
      </c>
      <c r="W90" s="16" t="inlineStr">
        <is>
          <t>No</t>
        </is>
      </c>
      <c r="X90" s="25" t="inlineStr">
        <is>
          <t>U</t>
        </is>
      </c>
    </row>
    <row r="91" ht="16" customHeight="1">
      <c r="A91" s="18" t="n">
        <v>90</v>
      </c>
      <c r="B91" s="18" t="inlineStr">
        <is>
          <t>Plateletcrit (PCT)</t>
        </is>
      </c>
      <c r="C91" t="inlineStr">
        <is>
          <t>Platelet Volume</t>
        </is>
      </c>
      <c r="D91" s="18" t="inlineStr">
        <is>
          <t>Normal</t>
        </is>
      </c>
      <c r="E91" s="18" t="n"/>
      <c r="G91" s="18" t="n"/>
      <c r="I91" s="18" t="n"/>
      <c r="J91" t="inlineStr">
        <is>
          <t>Yes</t>
        </is>
      </c>
      <c r="K91" s="18" t="n"/>
      <c r="L91" s="18" t="n"/>
      <c r="M91" s="18" t="n"/>
      <c r="N91" s="21" t="n"/>
      <c r="O91" s="21" t="n"/>
      <c r="P91" s="18" t="inlineStr">
        <is>
          <t>Blood Test</t>
        </is>
      </c>
      <c r="Q91" s="18" t="inlineStr">
        <is>
          <t>Blood Report</t>
        </is>
      </c>
      <c r="R91" s="9" t="inlineStr">
        <is>
          <t>0.19 – 0.39</t>
        </is>
      </c>
      <c r="S91" s="10" t="inlineStr">
        <is>
          <t>0.13 – 0.19  or  0.39 – 0.45</t>
        </is>
      </c>
      <c r="T91" s="11" t="inlineStr">
        <is>
          <t>-0.01 – 0.13  or  0.45 – 0.59</t>
        </is>
      </c>
      <c r="U91" s="12" t="inlineStr">
        <is>
          <t>&lt; -0.01  or  &gt; 0.59</t>
        </is>
      </c>
      <c r="V91" s="16" t="inlineStr">
        <is>
          <t>No</t>
        </is>
      </c>
      <c r="W91" s="16" t="inlineStr">
        <is>
          <t>No</t>
        </is>
      </c>
      <c r="X91" s="25" t="inlineStr">
        <is>
          <t>U</t>
        </is>
      </c>
    </row>
    <row r="92" ht="16" customHeight="1">
      <c r="A92" s="18" t="n">
        <v>91</v>
      </c>
      <c r="B92" s="18" t="inlineStr">
        <is>
          <t>Nucleated RBC %</t>
        </is>
      </c>
      <c r="C92" t="inlineStr">
        <is>
          <t>Immature RBC %</t>
        </is>
      </c>
      <c r="D92" s="18" t="inlineStr">
        <is>
          <t>Normal</t>
        </is>
      </c>
      <c r="E92" s="18" t="n"/>
      <c r="G92" s="18" t="n"/>
      <c r="I92" s="18" t="n"/>
      <c r="J92" t="inlineStr">
        <is>
          <t>Yes</t>
        </is>
      </c>
      <c r="K92" s="18" t="n"/>
      <c r="L92" s="18" t="n"/>
      <c r="M92" s="18" t="n"/>
      <c r="N92" s="21" t="n"/>
      <c r="O92" s="21" t="n"/>
      <c r="P92" s="18" t="inlineStr">
        <is>
          <t>Blood Test</t>
        </is>
      </c>
      <c r="Q92" s="18" t="inlineStr">
        <is>
          <t>Blood Report</t>
        </is>
      </c>
      <c r="R92" s="9" t="inlineStr">
        <is>
          <t>0</t>
        </is>
      </c>
      <c r="S92" s="10" t="inlineStr">
        <is>
          <t>Any positive finding</t>
        </is>
      </c>
      <c r="T92" s="11" t="inlineStr">
        <is>
          <t>Significant finding</t>
        </is>
      </c>
      <c r="U92" s="12" t="inlineStr">
        <is>
          <t>Severe finding</t>
        </is>
      </c>
      <c r="V92" s="16" t="inlineStr">
        <is>
          <t>No</t>
        </is>
      </c>
      <c r="W92" s="16" t="inlineStr">
        <is>
          <t>No</t>
        </is>
      </c>
      <c r="X92" s="25" t="inlineStr">
        <is>
          <t>U</t>
        </is>
      </c>
      <c r="Y92">
        <f> Nucleated RBC (count)</f>
        <v/>
      </c>
    </row>
    <row r="93" ht="16" customHeight="1">
      <c r="A93" s="18" t="n">
        <v>92</v>
      </c>
      <c r="B93" s="18" t="inlineStr">
        <is>
          <t>Nucleated RBC</t>
        </is>
      </c>
      <c r="C93" t="inlineStr">
        <is>
          <t>Immature RBC Count</t>
        </is>
      </c>
      <c r="D93" s="18" t="inlineStr">
        <is>
          <t>Normal</t>
        </is>
      </c>
      <c r="E93" s="18" t="n"/>
      <c r="G93" s="18" t="n"/>
      <c r="I93" s="18" t="n"/>
      <c r="J93" t="inlineStr">
        <is>
          <t>Yes</t>
        </is>
      </c>
      <c r="K93" s="18" t="n"/>
      <c r="L93" s="18" t="n"/>
      <c r="M93" s="18" t="n"/>
      <c r="N93" s="21" t="n"/>
      <c r="O93" s="21" t="n"/>
      <c r="P93" s="18" t="inlineStr">
        <is>
          <t>Blood Test</t>
        </is>
      </c>
      <c r="Q93" s="18" t="inlineStr">
        <is>
          <t>Blood Report</t>
        </is>
      </c>
      <c r="R93" s="9" t="inlineStr">
        <is>
          <t>0</t>
        </is>
      </c>
      <c r="S93" s="10" t="inlineStr">
        <is>
          <t>Any positive finding</t>
        </is>
      </c>
      <c r="T93" s="11" t="inlineStr">
        <is>
          <t>Significant finding</t>
        </is>
      </c>
      <c r="U93" s="12" t="inlineStr">
        <is>
          <t>Severe finding</t>
        </is>
      </c>
      <c r="V93" s="16" t="inlineStr">
        <is>
          <t>No</t>
        </is>
      </c>
      <c r="W93" s="16" t="inlineStr">
        <is>
          <t>No</t>
        </is>
      </c>
      <c r="X93" s="25" t="inlineStr">
        <is>
          <t>U</t>
        </is>
      </c>
      <c r="Y93">
        <f> Nucleated RBC % (%)</f>
        <v/>
      </c>
    </row>
    <row r="94" ht="16" customHeight="1">
      <c r="A94" s="18" t="n">
        <v>93</v>
      </c>
      <c r="B94" s="18" t="inlineStr">
        <is>
          <t>Immature Granulocytes %</t>
        </is>
      </c>
      <c r="C94" t="inlineStr">
        <is>
          <t>Bone Marrow Activity %</t>
        </is>
      </c>
      <c r="D94" s="18" t="inlineStr">
        <is>
          <t>Normal</t>
        </is>
      </c>
      <c r="E94" s="18" t="n"/>
      <c r="G94" s="18" t="n"/>
      <c r="I94" s="18" t="n"/>
      <c r="J94" t="inlineStr">
        <is>
          <t>Yes</t>
        </is>
      </c>
      <c r="K94" s="18" t="n"/>
      <c r="L94" s="18" t="n"/>
      <c r="M94" s="18" t="n"/>
      <c r="N94" s="21" t="n"/>
      <c r="O94" s="21" t="n"/>
      <c r="P94" s="18" t="inlineStr">
        <is>
          <t>Blood Test</t>
        </is>
      </c>
      <c r="Q94" s="18" t="inlineStr">
        <is>
          <t>Blood Report</t>
        </is>
      </c>
      <c r="R94" s="9" t="inlineStr">
        <is>
          <t>0.0 – 0.5</t>
        </is>
      </c>
      <c r="S94" s="10" t="inlineStr">
        <is>
          <t>-0.15 – 0.0  or  0.5 – 0.65</t>
        </is>
      </c>
      <c r="T94" s="11" t="inlineStr">
        <is>
          <t>-0.5 – -0.15  or  0.65 – 1.0</t>
        </is>
      </c>
      <c r="U94" s="12" t="inlineStr">
        <is>
          <t>&lt; -0.5  or  &gt; 1.0</t>
        </is>
      </c>
      <c r="V94" s="16" t="inlineStr">
        <is>
          <t>No</t>
        </is>
      </c>
      <c r="W94" s="16" t="inlineStr">
        <is>
          <t>No</t>
        </is>
      </c>
      <c r="X94" s="25" t="inlineStr">
        <is>
          <t>U</t>
        </is>
      </c>
      <c r="Y94">
        <f> Immature Granulocytes (count)</f>
        <v/>
      </c>
    </row>
    <row r="95" ht="16" customHeight="1">
      <c r="A95" s="18" t="n">
        <v>94</v>
      </c>
      <c r="B95" s="18" t="inlineStr">
        <is>
          <t>Immature Granulocytes</t>
        </is>
      </c>
      <c r="C95" t="inlineStr">
        <is>
          <t>Bone Marrow Activity</t>
        </is>
      </c>
      <c r="D95" s="18" t="inlineStr">
        <is>
          <t>Normal</t>
        </is>
      </c>
      <c r="E95" s="18" t="n"/>
      <c r="G95" s="18" t="n"/>
      <c r="I95" s="18" t="n"/>
      <c r="J95" t="inlineStr">
        <is>
          <t>Yes</t>
        </is>
      </c>
      <c r="K95" s="18" t="n"/>
      <c r="L95" s="18" t="n"/>
      <c r="M95" s="18" t="n"/>
      <c r="N95" s="21" t="n"/>
      <c r="O95" s="21" t="n"/>
      <c r="P95" s="18" t="inlineStr">
        <is>
          <t>Blood Test</t>
        </is>
      </c>
      <c r="Q95" s="18" t="inlineStr">
        <is>
          <t>Blood Report</t>
        </is>
      </c>
      <c r="R95" s="9" t="inlineStr">
        <is>
          <t>0.0 – 0.03</t>
        </is>
      </c>
      <c r="S95" s="10" t="inlineStr">
        <is>
          <t>-0.01 – 0.0  or  0.03 – 0.04</t>
        </is>
      </c>
      <c r="T95" s="11" t="inlineStr">
        <is>
          <t>-0.03 – -0.01  or  0.04 – 0.06</t>
        </is>
      </c>
      <c r="U95" s="12" t="inlineStr">
        <is>
          <t>&lt; -0.03  or  &gt; 0.06</t>
        </is>
      </c>
      <c r="V95" s="16" t="inlineStr">
        <is>
          <t>No</t>
        </is>
      </c>
      <c r="W95" s="16" t="inlineStr">
        <is>
          <t>No</t>
        </is>
      </c>
      <c r="X95" s="25" t="inlineStr">
        <is>
          <t>U</t>
        </is>
      </c>
      <c r="Y95">
        <f> Immature Granulocytes % (%)</f>
        <v/>
      </c>
    </row>
    <row r="96" ht="16" customHeight="1">
      <c r="A96" s="18" t="n">
        <v>95</v>
      </c>
      <c r="B96" s="18" t="inlineStr">
        <is>
          <t>RDW-SD</t>
        </is>
      </c>
      <c r="C96" t="inlineStr">
        <is>
          <t>RBC Size Variation (SD)</t>
        </is>
      </c>
      <c r="D96" s="18" t="inlineStr">
        <is>
          <t>Normal</t>
        </is>
      </c>
      <c r="E96" s="18" t="n"/>
      <c r="G96" s="18" t="n"/>
      <c r="I96" s="18" t="n"/>
      <c r="J96" t="inlineStr">
        <is>
          <t>Yes</t>
        </is>
      </c>
      <c r="K96" s="18" t="n"/>
      <c r="L96" s="18" t="n"/>
      <c r="M96" s="18" t="n"/>
      <c r="N96" s="21" t="n"/>
      <c r="O96" s="21" t="n"/>
      <c r="P96" s="18" t="inlineStr">
        <is>
          <t>Blood Test</t>
        </is>
      </c>
      <c r="Q96" s="18" t="inlineStr">
        <is>
          <t>Blood Report</t>
        </is>
      </c>
      <c r="R96" s="9" t="inlineStr">
        <is>
          <t>39.0 – 46.0</t>
        </is>
      </c>
      <c r="S96" s="10" t="inlineStr">
        <is>
          <t>36.9 – 39.0  or  46.0 – 48.1</t>
        </is>
      </c>
      <c r="T96" s="11" t="inlineStr">
        <is>
          <t>32.0 – 36.9  or  48.1 – 53.0</t>
        </is>
      </c>
      <c r="U96" s="12" t="inlineStr">
        <is>
          <t>&lt; 32.0  or  &gt; 53.0</t>
        </is>
      </c>
      <c r="V96" s="16" t="inlineStr">
        <is>
          <t>No</t>
        </is>
      </c>
      <c r="W96" s="16" t="inlineStr">
        <is>
          <t>No</t>
        </is>
      </c>
      <c r="X96" s="25" t="inlineStr">
        <is>
          <t>U</t>
        </is>
      </c>
    </row>
    <row r="97" ht="16" customHeight="1">
      <c r="A97" s="18" t="n">
        <v>96</v>
      </c>
      <c r="B97" s="18" t="inlineStr">
        <is>
          <t>PLCR</t>
        </is>
      </c>
      <c r="C97" t="inlineStr">
        <is>
          <t>Large Platelet Ratio</t>
        </is>
      </c>
      <c r="D97" s="18" t="inlineStr">
        <is>
          <t>Normal</t>
        </is>
      </c>
      <c r="E97" s="18" t="n"/>
      <c r="G97" s="18" t="n"/>
      <c r="I97" s="18" t="n"/>
      <c r="J97" t="inlineStr">
        <is>
          <t>Yes</t>
        </is>
      </c>
      <c r="K97" s="18" t="n"/>
      <c r="L97" s="18" t="n"/>
      <c r="M97" s="18" t="n"/>
      <c r="N97" s="21" t="n"/>
      <c r="O97" s="21" t="n"/>
      <c r="P97" s="18" t="inlineStr">
        <is>
          <t>Blood Test</t>
        </is>
      </c>
      <c r="Q97" s="18" t="inlineStr">
        <is>
          <t>Blood Report</t>
        </is>
      </c>
      <c r="R97" s="9" t="inlineStr">
        <is>
          <t>13.0 – 43.0</t>
        </is>
      </c>
      <c r="S97" s="10" t="inlineStr">
        <is>
          <t>4.0 – 13.0  or  43.0 – 52.0</t>
        </is>
      </c>
      <c r="T97" s="11" t="inlineStr">
        <is>
          <t>-17.0 – 4.0  or  52.0 – 73.0</t>
        </is>
      </c>
      <c r="U97" s="12" t="inlineStr">
        <is>
          <t>&lt; -17.0  or  &gt; 73.0</t>
        </is>
      </c>
      <c r="V97" s="16" t="inlineStr">
        <is>
          <t>No</t>
        </is>
      </c>
      <c r="W97" s="16" t="inlineStr">
        <is>
          <t>No</t>
        </is>
      </c>
      <c r="X97" s="25" t="inlineStr">
        <is>
          <t>U</t>
        </is>
      </c>
    </row>
    <row r="98" ht="16" customHeight="1">
      <c r="A98" s="18" t="n">
        <v>97</v>
      </c>
      <c r="B98" s="18" t="inlineStr">
        <is>
          <t>PDW</t>
        </is>
      </c>
      <c r="C98" t="inlineStr">
        <is>
          <t>Platelet Distribution Width</t>
        </is>
      </c>
      <c r="D98" s="18" t="inlineStr">
        <is>
          <t>Normal</t>
        </is>
      </c>
      <c r="E98" s="18" t="n"/>
      <c r="G98" s="18" t="n"/>
      <c r="I98" s="18" t="n"/>
      <c r="J98" t="inlineStr">
        <is>
          <t>Yes</t>
        </is>
      </c>
      <c r="K98" s="18" t="n"/>
      <c r="L98" s="18" t="n"/>
      <c r="M98" s="18" t="n"/>
      <c r="N98" s="21" t="n"/>
      <c r="O98" s="21" t="n"/>
      <c r="P98" s="18" t="inlineStr">
        <is>
          <t>Blood Test</t>
        </is>
      </c>
      <c r="Q98" s="18" t="inlineStr">
        <is>
          <t>Blood Report</t>
        </is>
      </c>
      <c r="R98" s="9" t="inlineStr">
        <is>
          <t>9.0 – 17.0</t>
        </is>
      </c>
      <c r="S98" s="10" t="inlineStr">
        <is>
          <t>6.6 – 9.0  or  17.0 – 19.4</t>
        </is>
      </c>
      <c r="T98" s="11" t="inlineStr">
        <is>
          <t>1.0 – 6.6  or  19.4 – 25.0</t>
        </is>
      </c>
      <c r="U98" s="12" t="inlineStr">
        <is>
          <t>&lt; 1.0  or  &gt; 25.0</t>
        </is>
      </c>
      <c r="V98" s="16" t="inlineStr">
        <is>
          <t>No</t>
        </is>
      </c>
      <c r="W98" s="16" t="inlineStr">
        <is>
          <t>No</t>
        </is>
      </c>
      <c r="X98" s="25" t="inlineStr">
        <is>
          <t>U</t>
        </is>
      </c>
    </row>
    <row r="99" ht="16" customHeight="1">
      <c r="A99" s="18" t="n">
        <v>98</v>
      </c>
      <c r="B99" s="18" t="inlineStr">
        <is>
          <t>Monocytes - Count</t>
        </is>
      </c>
      <c r="C99" t="inlineStr">
        <is>
          <t>Monocyte Absolute Count</t>
        </is>
      </c>
      <c r="D99" s="18" t="inlineStr">
        <is>
          <t>Normal</t>
        </is>
      </c>
      <c r="E99" s="18" t="n"/>
      <c r="G99" s="18" t="n"/>
      <c r="I99" s="18" t="n"/>
      <c r="J99" t="inlineStr">
        <is>
          <t>Yes</t>
        </is>
      </c>
      <c r="K99" s="18" t="n"/>
      <c r="L99" s="18" t="n"/>
      <c r="M99" s="18" t="n"/>
      <c r="N99" s="21" t="n"/>
      <c r="O99" s="21" t="n"/>
      <c r="P99" s="18" t="inlineStr">
        <is>
          <t>Blood Test</t>
        </is>
      </c>
      <c r="Q99" s="18" t="inlineStr">
        <is>
          <t>Blood Report</t>
        </is>
      </c>
      <c r="R99" s="9" t="inlineStr">
        <is>
          <t>0.2 – 0.9</t>
        </is>
      </c>
      <c r="S99" s="10" t="inlineStr">
        <is>
          <t>-0.01 – 0.2  or  0.9 – 1.11</t>
        </is>
      </c>
      <c r="T99" s="11" t="inlineStr">
        <is>
          <t>-0.5 – -0.01  or  1.11 – 1.6</t>
        </is>
      </c>
      <c r="U99" s="12" t="inlineStr">
        <is>
          <t>&lt; -0.5  or  &gt; 1.6</t>
        </is>
      </c>
      <c r="V99" s="16" t="inlineStr">
        <is>
          <t>No</t>
        </is>
      </c>
      <c r="W99" s="16" t="inlineStr">
        <is>
          <t>No</t>
        </is>
      </c>
      <c r="X99" s="25" t="inlineStr">
        <is>
          <t>U</t>
        </is>
      </c>
      <c r="Y99">
        <f> Monocytes (%)</f>
        <v/>
      </c>
    </row>
    <row r="100" ht="16" customHeight="1">
      <c r="A100" s="18" t="n">
        <v>99</v>
      </c>
      <c r="B100" s="18" t="inlineStr">
        <is>
          <t>Lymphocytes - Count</t>
        </is>
      </c>
      <c r="C100" t="inlineStr">
        <is>
          <t>Lymphocyte Absolute Count</t>
        </is>
      </c>
      <c r="D100" s="18" t="inlineStr">
        <is>
          <t>Normal</t>
        </is>
      </c>
      <c r="E100" s="18" t="n"/>
      <c r="G100" s="18" t="n"/>
      <c r="I100" s="18" t="n"/>
      <c r="J100" t="inlineStr">
        <is>
          <t>Yes</t>
        </is>
      </c>
      <c r="K100" s="18" t="n"/>
      <c r="L100" s="18" t="n"/>
      <c r="M100" s="18" t="n"/>
      <c r="N100" s="21" t="n"/>
      <c r="O100" s="21" t="n"/>
      <c r="P100" s="18" t="inlineStr">
        <is>
          <t>Blood Test</t>
        </is>
      </c>
      <c r="Q100" s="18" t="inlineStr">
        <is>
          <t>Blood Report</t>
        </is>
      </c>
      <c r="R100" s="9" t="inlineStr">
        <is>
          <t>1.0 – 4.8</t>
        </is>
      </c>
      <c r="S100" s="10" t="inlineStr">
        <is>
          <t>-0.14 – 1.0  or  4.8 – 5.94</t>
        </is>
      </c>
      <c r="T100" s="11" t="inlineStr">
        <is>
          <t>-2.8 – -0.14  or  5.94 – 8.6</t>
        </is>
      </c>
      <c r="U100" s="12" t="inlineStr">
        <is>
          <t>&lt; -2.8  or  &gt; 8.6</t>
        </is>
      </c>
      <c r="V100" s="16" t="inlineStr">
        <is>
          <t>No</t>
        </is>
      </c>
      <c r="W100" s="16" t="inlineStr">
        <is>
          <t>No</t>
        </is>
      </c>
      <c r="X100" s="25" t="inlineStr">
        <is>
          <t>U</t>
        </is>
      </c>
      <c r="Y100">
        <f> Lymphocytes (%)</f>
        <v/>
      </c>
    </row>
    <row r="101" ht="16" customHeight="1">
      <c r="A101" s="18" t="n">
        <v>100</v>
      </c>
      <c r="B101" s="18" t="inlineStr">
        <is>
          <t>Eosinophils - Count</t>
        </is>
      </c>
      <c r="C101" t="inlineStr">
        <is>
          <t>Eosinophil Absolute Count</t>
        </is>
      </c>
      <c r="D101" s="18" t="inlineStr">
        <is>
          <t>Normal</t>
        </is>
      </c>
      <c r="E101" s="18" t="n"/>
      <c r="G101" s="18" t="n"/>
      <c r="I101" s="18" t="n"/>
      <c r="J101" t="inlineStr">
        <is>
          <t>Yes</t>
        </is>
      </c>
      <c r="K101" s="18" t="n"/>
      <c r="L101" s="18" t="n"/>
      <c r="M101" s="18" t="n"/>
      <c r="N101" s="21" t="n"/>
      <c r="O101" s="21" t="n"/>
      <c r="P101" s="18" t="inlineStr">
        <is>
          <t>Blood Test</t>
        </is>
      </c>
      <c r="Q101" s="18" t="inlineStr">
        <is>
          <t>Blood Report</t>
        </is>
      </c>
      <c r="R101" s="9" t="inlineStr">
        <is>
          <t>0.0 – 0.45</t>
        </is>
      </c>
      <c r="S101" s="10" t="inlineStr">
        <is>
          <t>-0.14 – 0.0  or  0.45 – 0.58</t>
        </is>
      </c>
      <c r="T101" s="11" t="inlineStr">
        <is>
          <t>-0.45 – -0.14  or  0.58 – 0.9</t>
        </is>
      </c>
      <c r="U101" s="12" t="inlineStr">
        <is>
          <t>&lt; -0.45  or  &gt; 0.9</t>
        </is>
      </c>
      <c r="V101" s="16" t="inlineStr">
        <is>
          <t>No</t>
        </is>
      </c>
      <c r="W101" s="16" t="inlineStr">
        <is>
          <t>No</t>
        </is>
      </c>
      <c r="X101" s="25" t="inlineStr">
        <is>
          <t>U</t>
        </is>
      </c>
      <c r="Y101">
        <f> Eosinophils (%)</f>
        <v/>
      </c>
    </row>
    <row r="102" ht="16" customHeight="1">
      <c r="A102" s="18" t="n">
        <v>101</v>
      </c>
      <c r="B102" s="18" t="inlineStr">
        <is>
          <t>Vitamin B12</t>
        </is>
      </c>
      <c r="C102" t="inlineStr">
        <is>
          <t>Nerve &amp; Blood Health</t>
        </is>
      </c>
      <c r="D102" s="18" t="inlineStr">
        <is>
          <t>Normal</t>
        </is>
      </c>
      <c r="E102" s="18" t="n"/>
      <c r="G102" s="18" t="n"/>
      <c r="I102" s="18" t="n"/>
      <c r="J102" t="inlineStr">
        <is>
          <t>Yes</t>
        </is>
      </c>
      <c r="K102" s="18" t="n"/>
      <c r="L102" s="18" t="n"/>
      <c r="M102" s="18" t="n"/>
      <c r="N102" s="21" t="n"/>
      <c r="O102" s="21" t="n"/>
      <c r="P102" s="18" t="inlineStr">
        <is>
          <t>Blood Test</t>
        </is>
      </c>
      <c r="Q102" s="18" t="inlineStr">
        <is>
          <t>Blood Report</t>
        </is>
      </c>
      <c r="R102" s="9" t="inlineStr">
        <is>
          <t>197.0 – 771.0</t>
        </is>
      </c>
      <c r="S102" s="10" t="inlineStr">
        <is>
          <t>24.8 – 197.0  or  771.0 – 943.2</t>
        </is>
      </c>
      <c r="T102" s="11" t="inlineStr">
        <is>
          <t>-377.0 – 24.8  or  943.2 – 1345.0</t>
        </is>
      </c>
      <c r="U102" s="12" t="inlineStr">
        <is>
          <t>&lt; -377.0  or  &gt; 1345.0</t>
        </is>
      </c>
      <c r="V102" s="16" t="inlineStr">
        <is>
          <t>No</t>
        </is>
      </c>
      <c r="W102" s="16" t="inlineStr">
        <is>
          <t>No</t>
        </is>
      </c>
      <c r="X102" s="25" t="inlineStr">
        <is>
          <t>U</t>
        </is>
      </c>
    </row>
    <row r="103" ht="16" customHeight="1">
      <c r="A103" s="18" t="n">
        <v>102</v>
      </c>
      <c r="B103" s="18" t="inlineStr">
        <is>
          <t>Serum Albumin/Globulin</t>
        </is>
      </c>
      <c r="C103" t="inlineStr">
        <is>
          <t>A/G Ratio</t>
        </is>
      </c>
      <c r="D103" s="18" t="inlineStr">
        <is>
          <t>Normal</t>
        </is>
      </c>
      <c r="E103" s="18" t="n"/>
      <c r="G103" s="18" t="inlineStr">
        <is>
          <t>Yes</t>
        </is>
      </c>
      <c r="I103" s="18" t="n"/>
      <c r="K103" s="18" t="n"/>
      <c r="L103" s="18" t="n"/>
      <c r="M103" s="18" t="n"/>
      <c r="N103" s="21" t="n"/>
      <c r="O103" s="21" t="n"/>
      <c r="P103" s="18" t="inlineStr">
        <is>
          <t>Blood Test</t>
        </is>
      </c>
      <c r="Q103" s="18" t="inlineStr">
        <is>
          <t>Blood Report</t>
        </is>
      </c>
      <c r="R103" s="9" t="inlineStr">
        <is>
          <t>1.2 – 2.2</t>
        </is>
      </c>
      <c r="S103" s="10" t="inlineStr">
        <is>
          <t>0.9 – 1.2  or  2.2 – 2.5</t>
        </is>
      </c>
      <c r="T103" s="11" t="inlineStr">
        <is>
          <t>0.2 – 0.9  or  2.5 – 3.2</t>
        </is>
      </c>
      <c r="U103" s="12" t="inlineStr">
        <is>
          <t>&lt; 0.2  or  &gt; 3.2</t>
        </is>
      </c>
      <c r="V103" s="16" t="inlineStr">
        <is>
          <t>No</t>
        </is>
      </c>
      <c r="W103" s="16" t="inlineStr">
        <is>
          <t>No</t>
        </is>
      </c>
      <c r="X103" s="25" t="inlineStr">
        <is>
          <t>U</t>
        </is>
      </c>
    </row>
    <row r="104" ht="16" customHeight="1">
      <c r="A104" s="18" t="n">
        <v>103</v>
      </c>
      <c r="B104" s="18" t="inlineStr">
        <is>
          <t>Albumin</t>
        </is>
      </c>
      <c r="C104" t="inlineStr">
        <is>
          <t>Blood Protein &amp; Fluid Balance</t>
        </is>
      </c>
      <c r="D104" s="18" t="inlineStr">
        <is>
          <t>Normal</t>
        </is>
      </c>
      <c r="E104" s="18" t="n"/>
      <c r="G104" s="18" t="inlineStr">
        <is>
          <t>Yes</t>
        </is>
      </c>
      <c r="I104" s="18" t="n"/>
      <c r="K104" s="18" t="n"/>
      <c r="L104" s="18" t="n"/>
      <c r="M104" s="18" t="n"/>
      <c r="N104" s="21" t="n"/>
      <c r="O104" s="21" t="n"/>
      <c r="P104" s="18" t="inlineStr">
        <is>
          <t>Blood Test</t>
        </is>
      </c>
      <c r="Q104" s="18" t="inlineStr">
        <is>
          <t>Blood Report</t>
        </is>
      </c>
      <c r="R104" s="9" t="inlineStr">
        <is>
          <t>3.2 – 4.8</t>
        </is>
      </c>
      <c r="S104" s="10" t="inlineStr">
        <is>
          <t>2.72 – 3.2  or  4.8 – 5.28</t>
        </is>
      </c>
      <c r="T104" s="11" t="inlineStr">
        <is>
          <t>1.6 – 2.72  or  5.28 – 6.4</t>
        </is>
      </c>
      <c r="U104" s="12" t="inlineStr">
        <is>
          <t>&lt; 1.6  or  &gt; 6.4</t>
        </is>
      </c>
      <c r="V104" s="13" t="inlineStr">
        <is>
          <t>Yes</t>
        </is>
      </c>
      <c r="W104" s="14" t="inlineStr">
        <is>
          <t>Yes</t>
        </is>
      </c>
      <c r="X104" s="25" t="inlineStr">
        <is>
          <t>U</t>
        </is>
      </c>
    </row>
    <row r="105" ht="16" customHeight="1">
      <c r="A105" s="18" t="n">
        <v>104</v>
      </c>
      <c r="B105" s="18" t="inlineStr">
        <is>
          <t>Total Bilirubin</t>
        </is>
      </c>
      <c r="C105" t="inlineStr">
        <is>
          <t>Liver &amp; Blood Health</t>
        </is>
      </c>
      <c r="D105" s="18" t="inlineStr">
        <is>
          <t>Normal</t>
        </is>
      </c>
      <c r="E105" s="18" t="n"/>
      <c r="G105" s="18" t="inlineStr">
        <is>
          <t>Yes</t>
        </is>
      </c>
      <c r="I105" s="18" t="n"/>
      <c r="K105" s="18" t="n"/>
      <c r="L105" s="18" t="n"/>
      <c r="M105" s="18" t="n"/>
      <c r="N105" s="21" t="n"/>
      <c r="O105" s="21" t="n"/>
      <c r="P105" s="18" t="inlineStr">
        <is>
          <t>Blood Test</t>
        </is>
      </c>
      <c r="Q105" s="18" t="inlineStr">
        <is>
          <t>Blood Report</t>
        </is>
      </c>
      <c r="R105" s="9" t="inlineStr">
        <is>
          <t>0.3 – 1.29</t>
        </is>
      </c>
      <c r="S105" s="10" t="inlineStr">
        <is>
          <t>0.0 – 0.3  or  1.29 – 1.59</t>
        </is>
      </c>
      <c r="T105" s="11" t="inlineStr">
        <is>
          <t>-0.69 – 0.0  or  1.59 – 2.28</t>
        </is>
      </c>
      <c r="U105" s="12" t="inlineStr">
        <is>
          <t>&lt; -0.69  or  &gt; 2.28</t>
        </is>
      </c>
      <c r="V105" s="16" t="inlineStr">
        <is>
          <t>No</t>
        </is>
      </c>
      <c r="W105" s="16" t="inlineStr">
        <is>
          <t>No</t>
        </is>
      </c>
      <c r="X105" s="25" t="inlineStr">
        <is>
          <t>U</t>
        </is>
      </c>
    </row>
    <row r="106" ht="16" customHeight="1">
      <c r="A106" s="18" t="n">
        <v>105</v>
      </c>
      <c r="B106" s="18" t="inlineStr">
        <is>
          <t>Bilirubin Direct</t>
        </is>
      </c>
      <c r="C106" t="inlineStr">
        <is>
          <t>Liver Function &amp; Bile Flow</t>
        </is>
      </c>
      <c r="D106" s="18" t="inlineStr">
        <is>
          <t>Normal</t>
        </is>
      </c>
      <c r="E106" s="18" t="n"/>
      <c r="G106" s="18" t="inlineStr">
        <is>
          <t>Yes</t>
        </is>
      </c>
      <c r="I106" s="18" t="n"/>
      <c r="K106" s="18" t="n"/>
      <c r="L106" s="18" t="n"/>
      <c r="M106" s="18" t="n"/>
      <c r="N106" s="21" t="n"/>
      <c r="O106" s="21" t="n"/>
      <c r="P106" s="18" t="inlineStr">
        <is>
          <t>Blood Test</t>
        </is>
      </c>
      <c r="Q106" s="18" t="inlineStr">
        <is>
          <t>Blood Report</t>
        </is>
      </c>
      <c r="R106" s="9" t="inlineStr">
        <is>
          <t>≤ 0.3</t>
        </is>
      </c>
      <c r="S106" s="10" t="inlineStr">
        <is>
          <t>0.3 – 0.36</t>
        </is>
      </c>
      <c r="T106" s="11" t="inlineStr">
        <is>
          <t>0.36 – 0.53</t>
        </is>
      </c>
      <c r="U106" s="12" t="inlineStr">
        <is>
          <t>&gt; 0.53</t>
        </is>
      </c>
      <c r="V106" s="16" t="inlineStr">
        <is>
          <t>No</t>
        </is>
      </c>
      <c r="W106" s="16" t="inlineStr">
        <is>
          <t>No</t>
        </is>
      </c>
      <c r="X106" s="25" t="inlineStr">
        <is>
          <t>U</t>
        </is>
      </c>
    </row>
    <row r="107" ht="16" customHeight="1">
      <c r="A107" s="18" t="n">
        <v>106</v>
      </c>
      <c r="B107" s="18" t="inlineStr">
        <is>
          <t>ALP</t>
        </is>
      </c>
      <c r="C107" t="inlineStr">
        <is>
          <t>Liver &amp; Bone Health Enzyme</t>
        </is>
      </c>
      <c r="D107" s="18" t="inlineStr">
        <is>
          <t>Normal</t>
        </is>
      </c>
      <c r="E107" s="18" t="n"/>
      <c r="G107" s="18" t="inlineStr">
        <is>
          <t>Yes</t>
        </is>
      </c>
      <c r="I107" s="18" t="n"/>
      <c r="K107" s="18" t="n"/>
      <c r="L107" s="18" t="n"/>
      <c r="M107" s="18" t="n"/>
      <c r="N107" s="21" t="n"/>
      <c r="O107" s="21" t="n"/>
      <c r="P107" s="18" t="inlineStr">
        <is>
          <t>Blood Test</t>
        </is>
      </c>
      <c r="Q107" s="18" t="inlineStr">
        <is>
          <t>Blood Report</t>
        </is>
      </c>
      <c r="R107" s="9" t="inlineStr">
        <is>
          <t>45.0 – 129.0</t>
        </is>
      </c>
      <c r="S107" s="10" t="inlineStr">
        <is>
          <t>19.8 – 45.0  or  129.0 – 154.2</t>
        </is>
      </c>
      <c r="T107" s="11" t="inlineStr">
        <is>
          <t>-39.0 – 19.8  or  154.2 – 213.0</t>
        </is>
      </c>
      <c r="U107" s="12" t="inlineStr">
        <is>
          <t>&lt; -39.0  or  &gt; 213.0</t>
        </is>
      </c>
      <c r="V107" s="13" t="inlineStr">
        <is>
          <t>Yes</t>
        </is>
      </c>
      <c r="W107" s="14" t="inlineStr">
        <is>
          <t>Yes</t>
        </is>
      </c>
      <c r="X107" s="25" t="inlineStr">
        <is>
          <t>U</t>
        </is>
      </c>
    </row>
    <row r="108" ht="16" customHeight="1">
      <c r="A108" s="18" t="n">
        <v>107</v>
      </c>
      <c r="B108" s="18" t="inlineStr">
        <is>
          <t>Lipase</t>
        </is>
      </c>
      <c r="C108" t="inlineStr">
        <is>
          <t>Fat Digestion Enzyme</t>
        </is>
      </c>
      <c r="D108" s="18" t="inlineStr">
        <is>
          <t>Normal</t>
        </is>
      </c>
      <c r="E108" s="18" t="n"/>
      <c r="G108" s="18" t="inlineStr">
        <is>
          <t>Yes</t>
        </is>
      </c>
      <c r="I108" s="18" t="n"/>
      <c r="K108" s="18" t="n"/>
      <c r="L108" s="18" t="n"/>
      <c r="M108" s="18" t="n"/>
      <c r="N108" s="21" t="n"/>
      <c r="O108" s="21" t="n"/>
      <c r="P108" s="18" t="inlineStr">
        <is>
          <t>Blood Test</t>
        </is>
      </c>
      <c r="Q108" s="18" t="inlineStr">
        <is>
          <t>Blood Report</t>
        </is>
      </c>
      <c r="R108" s="9" t="inlineStr">
        <is>
          <t>5.6 – 51.3</t>
        </is>
      </c>
      <c r="S108" s="10" t="inlineStr">
        <is>
          <t>-8.11 – 5.6  or  51.3 – 65.01</t>
        </is>
      </c>
      <c r="T108" s="11" t="inlineStr">
        <is>
          <t>-40.1 – -8.11  or  65.01 – 97.0</t>
        </is>
      </c>
      <c r="U108" s="12" t="inlineStr">
        <is>
          <t>&lt; -40.1  or  &gt; 97.0</t>
        </is>
      </c>
      <c r="V108" s="16" t="inlineStr">
        <is>
          <t>No</t>
        </is>
      </c>
      <c r="W108" s="16" t="inlineStr">
        <is>
          <t>No</t>
        </is>
      </c>
      <c r="X108" s="25" t="inlineStr">
        <is>
          <t>U</t>
        </is>
      </c>
    </row>
    <row r="109" ht="16" customHeight="1">
      <c r="A109" s="18" t="n">
        <v>108</v>
      </c>
      <c r="B109" s="18" t="inlineStr">
        <is>
          <t>Amylase</t>
        </is>
      </c>
      <c r="C109" t="inlineStr">
        <is>
          <t>Carb Digestion Enzyme</t>
        </is>
      </c>
      <c r="D109" s="18" t="inlineStr">
        <is>
          <t>Normal</t>
        </is>
      </c>
      <c r="E109" s="18" t="n"/>
      <c r="G109" s="18" t="inlineStr">
        <is>
          <t>Yes</t>
        </is>
      </c>
      <c r="I109" s="18" t="n"/>
      <c r="K109" s="18" t="n"/>
      <c r="L109" s="18" t="n"/>
      <c r="M109" s="18" t="n"/>
      <c r="N109" s="21" t="n"/>
      <c r="O109" s="21" t="n"/>
      <c r="P109" s="18" t="inlineStr">
        <is>
          <t>Blood Test</t>
        </is>
      </c>
      <c r="Q109" s="18" t="inlineStr">
        <is>
          <t>Blood Report</t>
        </is>
      </c>
      <c r="R109" s="9" t="inlineStr">
        <is>
          <t>28.0 – 100.0</t>
        </is>
      </c>
      <c r="S109" s="10" t="inlineStr">
        <is>
          <t>6.4 – 28.0  or  100.0 – 121.6</t>
        </is>
      </c>
      <c r="T109" s="11" t="inlineStr">
        <is>
          <t>-44.0 – 6.4  or  121.6 – 172.0</t>
        </is>
      </c>
      <c r="U109" s="12" t="inlineStr">
        <is>
          <t>&lt; -44.0  or  &gt; 172.0</t>
        </is>
      </c>
      <c r="V109" s="16" t="inlineStr">
        <is>
          <t>No</t>
        </is>
      </c>
      <c r="W109" s="16" t="inlineStr">
        <is>
          <t>No</t>
        </is>
      </c>
      <c r="X109" s="25" t="inlineStr">
        <is>
          <t>U</t>
        </is>
      </c>
    </row>
    <row r="110" ht="16" customHeight="1">
      <c r="A110" s="18" t="n">
        <v>109</v>
      </c>
      <c r="B110" s="18" t="inlineStr">
        <is>
          <t>AST/ALT Ratio</t>
        </is>
      </c>
      <c r="C110" t="inlineStr">
        <is>
          <t>Liver Function Indicator</t>
        </is>
      </c>
      <c r="D110" s="18" t="inlineStr">
        <is>
          <t>Normal</t>
        </is>
      </c>
      <c r="E110" s="18" t="n"/>
      <c r="G110" s="18" t="inlineStr">
        <is>
          <t>Yes</t>
        </is>
      </c>
      <c r="I110" s="18" t="n"/>
      <c r="K110" s="18" t="n"/>
      <c r="L110" s="18" t="n"/>
      <c r="M110" s="18" t="n"/>
      <c r="N110" s="21" t="n"/>
      <c r="O110" s="21" t="n"/>
      <c r="P110" s="18" t="inlineStr">
        <is>
          <t>Blood Test</t>
        </is>
      </c>
      <c r="Q110" s="18" t="inlineStr">
        <is>
          <t>Blood Report</t>
        </is>
      </c>
      <c r="R110" s="9" t="inlineStr">
        <is>
          <t>≤ 2.0</t>
        </is>
      </c>
      <c r="S110" s="10" t="inlineStr">
        <is>
          <t>2.0 – 2.4</t>
        </is>
      </c>
      <c r="T110" s="11" t="inlineStr">
        <is>
          <t>2.4 – 3.5</t>
        </is>
      </c>
      <c r="U110" s="12" t="inlineStr">
        <is>
          <t>&gt; 3.5</t>
        </is>
      </c>
      <c r="V110" s="16" t="inlineStr">
        <is>
          <t>No</t>
        </is>
      </c>
      <c r="W110" s="16" t="inlineStr">
        <is>
          <t>No</t>
        </is>
      </c>
      <c r="X110" s="25" t="inlineStr">
        <is>
          <t>U</t>
        </is>
      </c>
    </row>
    <row r="111" ht="16" customHeight="1">
      <c r="A111" s="18" t="n">
        <v>110</v>
      </c>
      <c r="B111" s="18" t="inlineStr">
        <is>
          <t>Insulin</t>
        </is>
      </c>
      <c r="C111" t="inlineStr">
        <is>
          <t>Insulin Sensitivity</t>
        </is>
      </c>
      <c r="D111" s="18" t="inlineStr">
        <is>
          <t>Normal</t>
        </is>
      </c>
      <c r="E111" s="18" t="n"/>
      <c r="F111" t="inlineStr">
        <is>
          <t>Yes</t>
        </is>
      </c>
      <c r="G111" s="18" t="n"/>
      <c r="I111" s="18" t="n"/>
      <c r="K111" s="18" t="n"/>
      <c r="L111" s="18" t="n"/>
      <c r="M111" s="18" t="n"/>
      <c r="N111" s="21" t="n"/>
      <c r="O111" s="21" t="n"/>
      <c r="P111" s="18" t="inlineStr">
        <is>
          <t>Blood Test</t>
        </is>
      </c>
      <c r="Q111" s="18" t="inlineStr">
        <is>
          <t>Blood Report</t>
        </is>
      </c>
      <c r="R111" s="9" t="inlineStr">
        <is>
          <t>1.9 – 23.0</t>
        </is>
      </c>
      <c r="S111" s="10" t="inlineStr">
        <is>
          <t>-4.43 – 1.9  or  23.0 – 29.33</t>
        </is>
      </c>
      <c r="T111" s="11" t="inlineStr">
        <is>
          <t>-19.2 – -4.43  or  29.33 – 44.1</t>
        </is>
      </c>
      <c r="U111" s="12" t="inlineStr">
        <is>
          <t>&lt; -19.2  or  &gt; 44.1</t>
        </is>
      </c>
      <c r="V111" s="13" t="inlineStr">
        <is>
          <t>Yes</t>
        </is>
      </c>
      <c r="W111" s="14" t="inlineStr">
        <is>
          <t>Yes</t>
        </is>
      </c>
      <c r="X111" s="25" t="inlineStr">
        <is>
          <t>U</t>
        </is>
      </c>
    </row>
    <row r="112" ht="16" customHeight="1">
      <c r="A112" s="18" t="n">
        <v>111</v>
      </c>
      <c r="B112" s="18" t="inlineStr">
        <is>
          <t>HbA1c</t>
        </is>
      </c>
      <c r="C112" t="inlineStr">
        <is>
          <t>Long-Term Blood Sugar</t>
        </is>
      </c>
      <c r="D112" s="18" t="inlineStr">
        <is>
          <t>Normal</t>
        </is>
      </c>
      <c r="E112" s="18" t="n"/>
      <c r="F112" t="inlineStr">
        <is>
          <t>Yes</t>
        </is>
      </c>
      <c r="G112" s="18" t="n"/>
      <c r="I112" s="18" t="n"/>
      <c r="K112" s="18" t="n"/>
      <c r="L112" s="18" t="n"/>
      <c r="M112" s="18" t="n"/>
      <c r="N112" s="21" t="n"/>
      <c r="O112" s="21" t="n"/>
      <c r="P112" s="18" t="inlineStr">
        <is>
          <t>Blood Test</t>
        </is>
      </c>
      <c r="Q112" s="18" t="inlineStr">
        <is>
          <t>Blood Report</t>
        </is>
      </c>
      <c r="R112" s="9" t="inlineStr">
        <is>
          <t>≤ 5.7</t>
        </is>
      </c>
      <c r="S112" s="10" t="inlineStr">
        <is>
          <t>5.7 – 6.84</t>
        </is>
      </c>
      <c r="T112" s="11" t="inlineStr">
        <is>
          <t>6.84 – 9.97</t>
        </is>
      </c>
      <c r="U112" s="12" t="inlineStr">
        <is>
          <t>&gt; 9.97</t>
        </is>
      </c>
      <c r="V112" s="13" t="inlineStr">
        <is>
          <t>Yes</t>
        </is>
      </c>
      <c r="W112" s="14" t="inlineStr">
        <is>
          <t>Yes</t>
        </is>
      </c>
      <c r="X112" s="25" t="inlineStr">
        <is>
          <t>U</t>
        </is>
      </c>
    </row>
    <row r="113" ht="16" customHeight="1">
      <c r="A113" s="18" t="n">
        <v>112</v>
      </c>
      <c r="B113" s="18" t="inlineStr">
        <is>
          <t>Ketone</t>
        </is>
      </c>
      <c r="C113" t="inlineStr">
        <is>
          <t>Ketone Bodies (DKA Marker)</t>
        </is>
      </c>
      <c r="D113" s="18" t="inlineStr">
        <is>
          <t>Normal</t>
        </is>
      </c>
      <c r="E113" s="18" t="n"/>
      <c r="F113" t="inlineStr">
        <is>
          <t>Yes</t>
        </is>
      </c>
      <c r="G113" s="18" t="n"/>
      <c r="I113" s="18" t="n"/>
      <c r="K113" s="18" t="n"/>
      <c r="L113" s="18" t="n"/>
      <c r="M113" s="18" t="n"/>
      <c r="N113" s="21" t="n"/>
      <c r="O113" s="21" t="n"/>
      <c r="P113" s="18" t="inlineStr">
        <is>
          <t>Blood Test</t>
        </is>
      </c>
      <c r="Q113" s="18" t="inlineStr">
        <is>
          <t>Blood Report</t>
        </is>
      </c>
      <c r="R113" s="9" t="inlineStr">
        <is>
          <t>Negative</t>
        </is>
      </c>
      <c r="S113" s="10" t="inlineStr">
        <is>
          <t>Any positive finding</t>
        </is>
      </c>
      <c r="T113" s="11" t="inlineStr">
        <is>
          <t>Significant finding</t>
        </is>
      </c>
      <c r="U113" s="12" t="inlineStr">
        <is>
          <t>Severe finding</t>
        </is>
      </c>
      <c r="V113" s="16" t="inlineStr">
        <is>
          <t>No</t>
        </is>
      </c>
      <c r="W113" s="16" t="inlineStr">
        <is>
          <t>No</t>
        </is>
      </c>
      <c r="X113" s="25" t="inlineStr">
        <is>
          <t>U</t>
        </is>
      </c>
    </row>
    <row r="114" ht="16" customHeight="1">
      <c r="A114" s="18" t="n">
        <v>113</v>
      </c>
      <c r="B114" s="18" t="inlineStr">
        <is>
          <t>TSH</t>
        </is>
      </c>
      <c r="C114" t="inlineStr">
        <is>
          <t>Thyroid Function Regulator</t>
        </is>
      </c>
      <c r="D114" s="18" t="inlineStr">
        <is>
          <t>Normal</t>
        </is>
      </c>
      <c r="E114" s="18" t="n"/>
      <c r="F114" t="inlineStr">
        <is>
          <t>Yes</t>
        </is>
      </c>
      <c r="G114" s="18" t="n"/>
      <c r="I114" s="18" t="n"/>
      <c r="K114" s="18" t="n"/>
      <c r="L114" s="18" t="n"/>
      <c r="M114" s="18" t="n"/>
      <c r="N114" s="21" t="n"/>
      <c r="O114" s="21" t="n"/>
      <c r="P114" s="18" t="inlineStr">
        <is>
          <t>Blood Test</t>
        </is>
      </c>
      <c r="Q114" s="18" t="inlineStr">
        <is>
          <t>Blood Report</t>
        </is>
      </c>
      <c r="R114" s="9" t="inlineStr">
        <is>
          <t>0.3 – 5.5</t>
        </is>
      </c>
      <c r="S114" s="10" t="inlineStr">
        <is>
          <t>-1.26 – 0.3  or  5.5 – 7.06</t>
        </is>
      </c>
      <c r="T114" s="11" t="inlineStr">
        <is>
          <t>-4.9 – -1.26  or  7.06 – 10.7</t>
        </is>
      </c>
      <c r="U114" s="12" t="inlineStr">
        <is>
          <t>&lt; -4.9  or  &gt; 10.7</t>
        </is>
      </c>
      <c r="V114" s="16" t="inlineStr">
        <is>
          <t>No</t>
        </is>
      </c>
      <c r="W114" s="14" t="inlineStr">
        <is>
          <t>Yes</t>
        </is>
      </c>
      <c r="X114" s="25" t="inlineStr">
        <is>
          <t>U</t>
        </is>
      </c>
    </row>
    <row r="115" ht="16" customHeight="1">
      <c r="A115" s="18" t="n">
        <v>114</v>
      </c>
      <c r="B115" s="18" t="inlineStr">
        <is>
          <t>Thyroxine (T4) Free</t>
        </is>
      </c>
      <c r="C115" t="inlineStr">
        <is>
          <t>Free T4 Thyroid Hormone</t>
        </is>
      </c>
      <c r="D115" s="18" t="inlineStr">
        <is>
          <t>Normal</t>
        </is>
      </c>
      <c r="E115" s="18" t="n"/>
      <c r="F115" t="inlineStr">
        <is>
          <t>Yes</t>
        </is>
      </c>
      <c r="G115" s="18" t="n"/>
      <c r="I115" s="18" t="n"/>
      <c r="K115" s="18" t="n"/>
      <c r="L115" s="18" t="n"/>
      <c r="M115" s="18" t="n"/>
      <c r="N115" s="21" t="n"/>
      <c r="O115" s="21" t="n"/>
      <c r="P115" s="18" t="inlineStr">
        <is>
          <t>Blood Test</t>
        </is>
      </c>
      <c r="Q115" s="18" t="inlineStr">
        <is>
          <t>Blood Report</t>
        </is>
      </c>
      <c r="R115" s="9" t="inlineStr">
        <is>
          <t>0.8 – 1.8</t>
        </is>
      </c>
      <c r="S115" s="10" t="inlineStr">
        <is>
          <t>0.5 – 0.8  or  1.8 – 2.1</t>
        </is>
      </c>
      <c r="T115" s="11" t="inlineStr">
        <is>
          <t>-0.2 – 0.5  or  2.1 – 2.8</t>
        </is>
      </c>
      <c r="U115" s="12" t="inlineStr">
        <is>
          <t>&lt; -0.2  or  &gt; 2.8</t>
        </is>
      </c>
      <c r="V115" s="16" t="inlineStr">
        <is>
          <t>No</t>
        </is>
      </c>
      <c r="W115" s="14" t="inlineStr">
        <is>
          <t>Yes</t>
        </is>
      </c>
      <c r="X115" s="25" t="inlineStr">
        <is>
          <t>U</t>
        </is>
      </c>
    </row>
    <row r="116" ht="16" customHeight="1">
      <c r="A116" s="18" t="n">
        <v>115</v>
      </c>
      <c r="B116" s="18" t="inlineStr">
        <is>
          <t>Triiodothyronine (T3) Free</t>
        </is>
      </c>
      <c r="C116" t="inlineStr">
        <is>
          <t>Free T3 Thyroid Hormone</t>
        </is>
      </c>
      <c r="D116" s="18" t="inlineStr">
        <is>
          <t>Normal</t>
        </is>
      </c>
      <c r="E116" s="18" t="n"/>
      <c r="F116" t="inlineStr">
        <is>
          <t>Yes</t>
        </is>
      </c>
      <c r="G116" s="18" t="n"/>
      <c r="I116" s="18" t="n"/>
      <c r="K116" s="18" t="n"/>
      <c r="L116" s="18" t="n"/>
      <c r="M116" s="18" t="n"/>
      <c r="N116" s="21" t="n"/>
      <c r="O116" s="21" t="n"/>
      <c r="P116" s="18" t="inlineStr">
        <is>
          <t>Blood Test</t>
        </is>
      </c>
      <c r="Q116" s="18" t="inlineStr">
        <is>
          <t>Blood Report</t>
        </is>
      </c>
      <c r="R116" s="9" t="inlineStr">
        <is>
          <t>2.3 – 4.2</t>
        </is>
      </c>
      <c r="S116" s="10" t="inlineStr">
        <is>
          <t>1.73 – 2.3  or  4.2 – 4.77</t>
        </is>
      </c>
      <c r="T116" s="11" t="inlineStr">
        <is>
          <t>0.4 – 1.73  or  4.77 – 6.1</t>
        </is>
      </c>
      <c r="U116" s="12" t="inlineStr">
        <is>
          <t>&lt; 0.4  or  &gt; 6.1</t>
        </is>
      </c>
      <c r="V116" s="16" t="inlineStr">
        <is>
          <t>No</t>
        </is>
      </c>
      <c r="W116" s="14" t="inlineStr">
        <is>
          <t>Yes</t>
        </is>
      </c>
      <c r="X116" s="25" t="inlineStr">
        <is>
          <t>U</t>
        </is>
      </c>
    </row>
    <row r="117" ht="16" customHeight="1">
      <c r="A117" s="18" t="n">
        <v>116</v>
      </c>
      <c r="B117" s="18" t="inlineStr">
        <is>
          <t>Average Blood Glucose</t>
        </is>
      </c>
      <c r="C117" t="inlineStr">
        <is>
          <t>Long-Term Sugar Control</t>
        </is>
      </c>
      <c r="D117" s="18" t="inlineStr">
        <is>
          <t>Normal</t>
        </is>
      </c>
      <c r="E117" s="18" t="n"/>
      <c r="F117" t="inlineStr">
        <is>
          <t>Yes</t>
        </is>
      </c>
      <c r="G117" s="18" t="n"/>
      <c r="I117" s="18" t="n"/>
      <c r="K117" s="18" t="n"/>
      <c r="L117" s="18" t="n"/>
      <c r="M117" s="18" t="n"/>
      <c r="N117" s="21" t="n"/>
      <c r="O117" s="21" t="n"/>
      <c r="P117" s="18" t="inlineStr">
        <is>
          <t>Blood Test</t>
        </is>
      </c>
      <c r="Q117" s="18" t="inlineStr">
        <is>
          <t>Blood Report</t>
        </is>
      </c>
      <c r="R117" s="9" t="inlineStr">
        <is>
          <t>≤ 120.0</t>
        </is>
      </c>
      <c r="S117" s="10" t="inlineStr">
        <is>
          <t>120.0 – 144.0</t>
        </is>
      </c>
      <c r="T117" s="11" t="inlineStr">
        <is>
          <t>144.0 – 210.0</t>
        </is>
      </c>
      <c r="U117" s="12" t="inlineStr">
        <is>
          <t>&gt; 210.0</t>
        </is>
      </c>
      <c r="V117" s="13" t="inlineStr">
        <is>
          <t>Yes</t>
        </is>
      </c>
      <c r="W117" s="14" t="inlineStr">
        <is>
          <t>Yes</t>
        </is>
      </c>
      <c r="X117" s="25" t="inlineStr">
        <is>
          <t>U</t>
        </is>
      </c>
    </row>
    <row r="118" ht="16" customHeight="1">
      <c r="A118" s="18" t="n">
        <v>117</v>
      </c>
      <c r="B118" s="18" t="inlineStr">
        <is>
          <t>Testosterone</t>
        </is>
      </c>
      <c r="C118" t="inlineStr">
        <is>
          <t>Hormone for Vitality</t>
        </is>
      </c>
      <c r="D118" s="18" t="inlineStr">
        <is>
          <t>Normal</t>
        </is>
      </c>
      <c r="E118" s="18" t="n"/>
      <c r="G118" s="18" t="n"/>
      <c r="I118" s="18" t="n"/>
      <c r="K118" s="18" t="n"/>
      <c r="L118" s="18" t="n"/>
      <c r="M118" s="18" t="n"/>
      <c r="N118" s="21" t="n"/>
      <c r="O118" s="21" t="inlineStr">
        <is>
          <t>Yes</t>
        </is>
      </c>
      <c r="P118" s="18" t="inlineStr">
        <is>
          <t>Blood Test</t>
        </is>
      </c>
      <c r="Q118" s="18" t="inlineStr">
        <is>
          <t>Blood Report</t>
        </is>
      </c>
      <c r="R118" s="9" t="inlineStr">
        <is>
          <t>280.0 – 800.0</t>
        </is>
      </c>
      <c r="S118" s="10" t="inlineStr">
        <is>
          <t>124.0 – 280.0  or  800.0 – 956.0</t>
        </is>
      </c>
      <c r="T118" s="11" t="inlineStr">
        <is>
          <t>-240.0 – 124.0  or  956.0 – 1320.0</t>
        </is>
      </c>
      <c r="U118" s="12" t="inlineStr">
        <is>
          <t>&lt; -240.0  or  &gt; 1320.0</t>
        </is>
      </c>
      <c r="V118" s="16" t="inlineStr">
        <is>
          <t>No</t>
        </is>
      </c>
      <c r="W118" s="14" t="inlineStr">
        <is>
          <t>Yes</t>
        </is>
      </c>
      <c r="X118" s="25" t="inlineStr">
        <is>
          <t>U</t>
        </is>
      </c>
    </row>
    <row r="119" ht="16" customHeight="1">
      <c r="A119" s="18" t="n">
        <v>118</v>
      </c>
      <c r="B119" s="18" t="inlineStr">
        <is>
          <t>hs-CRP</t>
        </is>
      </c>
      <c r="C119" t="inlineStr">
        <is>
          <t>Inflammation Marker</t>
        </is>
      </c>
      <c r="D119" s="18" t="inlineStr">
        <is>
          <t>Normal</t>
        </is>
      </c>
      <c r="E119" s="18" t="n"/>
      <c r="G119" s="18" t="n"/>
      <c r="I119" s="18" t="n"/>
      <c r="J119" t="inlineStr">
        <is>
          <t>Yes</t>
        </is>
      </c>
      <c r="K119" s="18" t="n"/>
      <c r="L119" s="18" t="n"/>
      <c r="M119" s="18" t="n"/>
      <c r="N119" s="21" t="n"/>
      <c r="O119" s="21" t="n"/>
      <c r="P119" s="18" t="inlineStr">
        <is>
          <t>Blood Test</t>
        </is>
      </c>
      <c r="Q119" s="18" t="inlineStr">
        <is>
          <t>Blood Report</t>
        </is>
      </c>
      <c r="R119" s="9" t="inlineStr">
        <is>
          <t>≤ 3.0</t>
        </is>
      </c>
      <c r="S119" s="10" t="inlineStr">
        <is>
          <t>3.0 – 3.6</t>
        </is>
      </c>
      <c r="T119" s="11" t="inlineStr">
        <is>
          <t>3.6 – 5.25</t>
        </is>
      </c>
      <c r="U119" s="12" t="inlineStr">
        <is>
          <t>&gt; 5.25</t>
        </is>
      </c>
      <c r="V119" s="13" t="inlineStr">
        <is>
          <t>Yes</t>
        </is>
      </c>
      <c r="W119" s="14" t="inlineStr">
        <is>
          <t>Yes</t>
        </is>
      </c>
      <c r="X119" s="25" t="inlineStr">
        <is>
          <t>U</t>
        </is>
      </c>
    </row>
    <row r="120" ht="16" customHeight="1">
      <c r="A120" s="18" t="n">
        <v>119</v>
      </c>
      <c r="B120" s="18" t="inlineStr">
        <is>
          <t>Neutrophils</t>
        </is>
      </c>
      <c r="C120" t="inlineStr">
        <is>
          <t>Bacterial Infection Defense</t>
        </is>
      </c>
      <c r="D120" s="18" t="inlineStr">
        <is>
          <t>Normal</t>
        </is>
      </c>
      <c r="E120" s="18" t="n"/>
      <c r="G120" s="18" t="n"/>
      <c r="I120" s="18" t="n"/>
      <c r="J120" t="inlineStr">
        <is>
          <t>Yes</t>
        </is>
      </c>
      <c r="K120" s="18" t="n"/>
      <c r="L120" s="18" t="n"/>
      <c r="M120" s="18" t="n"/>
      <c r="N120" s="21" t="n"/>
      <c r="O120" s="21" t="n"/>
      <c r="P120" s="18" t="inlineStr">
        <is>
          <t>Blood Test</t>
        </is>
      </c>
      <c r="Q120" s="18" t="inlineStr">
        <is>
          <t>Blood Report</t>
        </is>
      </c>
      <c r="R120" s="9" t="inlineStr">
        <is>
          <t>40.0 – 80.0</t>
        </is>
      </c>
      <c r="S120" s="10" t="inlineStr">
        <is>
          <t>28.0 – 40.0  or  80.0 – 92.0</t>
        </is>
      </c>
      <c r="T120" s="11" t="inlineStr">
        <is>
          <t>0.0 – 28.0  or  92.0 – 120.0</t>
        </is>
      </c>
      <c r="U120" s="12" t="inlineStr">
        <is>
          <t>&lt; 0.0  or  &gt; 120.0</t>
        </is>
      </c>
      <c r="V120" s="13" t="inlineStr">
        <is>
          <t>Yes</t>
        </is>
      </c>
      <c r="W120" s="14" t="inlineStr">
        <is>
          <t>Yes</t>
        </is>
      </c>
      <c r="X120" s="25" t="inlineStr">
        <is>
          <t>U</t>
        </is>
      </c>
      <c r="Y120">
        <f> Neutrophils - Count (count)</f>
        <v/>
      </c>
    </row>
    <row r="121" ht="16" customHeight="1">
      <c r="A121" s="18" t="n">
        <v>120</v>
      </c>
      <c r="B121" s="18" t="inlineStr">
        <is>
          <t>Magnesium, RBC</t>
        </is>
      </c>
      <c r="C121" t="inlineStr">
        <is>
          <t>Cellular Magnesium</t>
        </is>
      </c>
      <c r="D121" s="18" t="inlineStr">
        <is>
          <t>Normal</t>
        </is>
      </c>
      <c r="E121" s="18" t="n"/>
      <c r="G121" s="18" t="n"/>
      <c r="I121" s="18" t="n"/>
      <c r="J121" t="inlineStr">
        <is>
          <t>Yes</t>
        </is>
      </c>
      <c r="K121" s="18" t="n"/>
      <c r="L121" s="18" t="n"/>
      <c r="M121" s="18" t="n"/>
      <c r="N121" s="21" t="n"/>
      <c r="O121" s="21" t="n"/>
      <c r="P121" s="18" t="inlineStr">
        <is>
          <t>Blood Test</t>
        </is>
      </c>
      <c r="Q121" s="18" t="inlineStr">
        <is>
          <t>Blood Report</t>
        </is>
      </c>
      <c r="R121" s="9" t="inlineStr">
        <is>
          <t>1.9 – 3.1</t>
        </is>
      </c>
      <c r="S121" s="10" t="inlineStr">
        <is>
          <t>1.54 – 1.9  or  3.1 – 3.46</t>
        </is>
      </c>
      <c r="T121" s="11" t="inlineStr">
        <is>
          <t>0.7 – 1.54  or  3.46 – 4.3</t>
        </is>
      </c>
      <c r="U121" s="12" t="inlineStr">
        <is>
          <t>&lt; 0.7  or  &gt; 4.3</t>
        </is>
      </c>
      <c r="V121" s="16" t="inlineStr">
        <is>
          <t>No</t>
        </is>
      </c>
      <c r="W121" s="14" t="inlineStr">
        <is>
          <t>Yes</t>
        </is>
      </c>
      <c r="X121" s="25" t="inlineStr">
        <is>
          <t>U</t>
        </is>
      </c>
    </row>
    <row r="122" ht="16" customHeight="1">
      <c r="A122" s="18" t="n">
        <v>121</v>
      </c>
      <c r="B122" s="18" t="inlineStr">
        <is>
          <t>Lipoprotein (a)</t>
        </is>
      </c>
      <c r="C122" t="inlineStr">
        <is>
          <t>Genetic Heart Risk</t>
        </is>
      </c>
      <c r="D122" s="18" t="inlineStr">
        <is>
          <t>Normal</t>
        </is>
      </c>
      <c r="E122" s="18" t="inlineStr">
        <is>
          <t>Yes</t>
        </is>
      </c>
      <c r="G122" s="18" t="n"/>
      <c r="I122" s="18" t="n"/>
      <c r="K122" s="18" t="n"/>
      <c r="L122" s="18" t="n"/>
      <c r="M122" s="18" t="n"/>
      <c r="N122" s="21" t="n"/>
      <c r="O122" s="21" t="n"/>
      <c r="P122" s="18" t="inlineStr">
        <is>
          <t>Blood Test</t>
        </is>
      </c>
      <c r="Q122" s="18" t="inlineStr">
        <is>
          <t>Blood Report</t>
        </is>
      </c>
      <c r="R122" s="9" t="inlineStr">
        <is>
          <t>≤ 30.0</t>
        </is>
      </c>
      <c r="S122" s="10" t="inlineStr">
        <is>
          <t>30.0 – 36.0</t>
        </is>
      </c>
      <c r="T122" s="11" t="inlineStr">
        <is>
          <t>36.0 – 52.5</t>
        </is>
      </c>
      <c r="U122" s="12" t="inlineStr">
        <is>
          <t>&gt; 52.5</t>
        </is>
      </c>
      <c r="V122" s="13" t="inlineStr">
        <is>
          <t>Yes</t>
        </is>
      </c>
      <c r="W122" s="14" t="inlineStr">
        <is>
          <t>Yes</t>
        </is>
      </c>
      <c r="X122" s="25" t="inlineStr">
        <is>
          <t>U</t>
        </is>
      </c>
    </row>
    <row r="123" ht="16" customHeight="1">
      <c r="A123" s="18" t="n">
        <v>122</v>
      </c>
      <c r="B123" s="18" t="inlineStr">
        <is>
          <t>Apolipoprotein B</t>
        </is>
      </c>
      <c r="C123" t="inlineStr">
        <is>
          <t>Bad Cholesterol Carrier</t>
        </is>
      </c>
      <c r="D123" s="18" t="inlineStr">
        <is>
          <t>Normal</t>
        </is>
      </c>
      <c r="E123" s="18" t="inlineStr">
        <is>
          <t>Yes</t>
        </is>
      </c>
      <c r="G123" s="18" t="n"/>
      <c r="I123" s="18" t="n"/>
      <c r="K123" s="18" t="n"/>
      <c r="L123" s="18" t="n"/>
      <c r="M123" s="18" t="n"/>
      <c r="N123" s="21" t="n"/>
      <c r="O123" s="21" t="n"/>
      <c r="P123" s="18" t="inlineStr">
        <is>
          <t>Blood Test</t>
        </is>
      </c>
      <c r="Q123" s="18" t="inlineStr">
        <is>
          <t>Blood Report</t>
        </is>
      </c>
      <c r="R123" s="9" t="inlineStr">
        <is>
          <t>53.0 – 138.0</t>
        </is>
      </c>
      <c r="S123" s="10" t="inlineStr">
        <is>
          <t>27.5 – 53.0  or  138.0 – 163.5</t>
        </is>
      </c>
      <c r="T123" s="11" t="inlineStr">
        <is>
          <t>-32.0 – 27.5  or  163.5 – 223.0</t>
        </is>
      </c>
      <c r="U123" s="12" t="inlineStr">
        <is>
          <t>&lt; -32.0  or  &gt; 223.0</t>
        </is>
      </c>
      <c r="V123" s="13" t="inlineStr">
        <is>
          <t>Yes</t>
        </is>
      </c>
      <c r="W123" s="14" t="inlineStr">
        <is>
          <t>Yes</t>
        </is>
      </c>
      <c r="X123" s="25" t="inlineStr">
        <is>
          <t>U</t>
        </is>
      </c>
    </row>
    <row r="124" ht="16" customHeight="1">
      <c r="A124" s="18" t="n">
        <v>123</v>
      </c>
      <c r="B124" s="18" t="inlineStr">
        <is>
          <t>LDL/HDL Ratio</t>
        </is>
      </c>
      <c r="C124" t="inlineStr">
        <is>
          <t>Cholesterol Balance Ratio</t>
        </is>
      </c>
      <c r="D124" s="18" t="inlineStr">
        <is>
          <t>Normal</t>
        </is>
      </c>
      <c r="E124" s="18" t="inlineStr">
        <is>
          <t>Yes</t>
        </is>
      </c>
      <c r="G124" s="18" t="n"/>
      <c r="I124" s="18" t="n"/>
      <c r="K124" s="18" t="n"/>
      <c r="L124" s="18" t="n"/>
      <c r="M124" s="18" t="n"/>
      <c r="N124" s="21" t="n"/>
      <c r="O124" s="21" t="n"/>
      <c r="P124" s="18" t="inlineStr">
        <is>
          <t>Blood Test</t>
        </is>
      </c>
      <c r="Q124" s="18" t="inlineStr">
        <is>
          <t>Blood Report</t>
        </is>
      </c>
      <c r="R124" s="9" t="inlineStr">
        <is>
          <t>1.5 – 3.5</t>
        </is>
      </c>
      <c r="S124" s="10" t="inlineStr">
        <is>
          <t>0.9 – 1.5  or  3.5 – 4.1</t>
        </is>
      </c>
      <c r="T124" s="11" t="inlineStr">
        <is>
          <t>-0.5 – 0.9  or  4.1 – 5.5</t>
        </is>
      </c>
      <c r="U124" s="12" t="inlineStr">
        <is>
          <t>&lt; -0.5  or  &gt; 5.5</t>
        </is>
      </c>
      <c r="V124" s="16" t="inlineStr">
        <is>
          <t>No</t>
        </is>
      </c>
      <c r="W124" s="16" t="inlineStr">
        <is>
          <t>No</t>
        </is>
      </c>
      <c r="X124" s="25" t="inlineStr">
        <is>
          <t>U</t>
        </is>
      </c>
    </row>
    <row r="125" ht="16" customHeight="1">
      <c r="A125" s="18" t="n">
        <v>124</v>
      </c>
      <c r="B125" s="18" t="inlineStr">
        <is>
          <t>Urine Blood</t>
        </is>
      </c>
      <c r="C125" t="inlineStr">
        <is>
          <t>Urinary Blood</t>
        </is>
      </c>
      <c r="D125" s="18" t="inlineStr">
        <is>
          <t>Normal</t>
        </is>
      </c>
      <c r="E125" s="18" t="n"/>
      <c r="G125" s="18" t="n"/>
      <c r="I125" s="18" t="inlineStr">
        <is>
          <t>Yes</t>
        </is>
      </c>
      <c r="K125" s="18" t="n"/>
      <c r="L125" s="18" t="n"/>
      <c r="M125" s="18" t="n"/>
      <c r="N125" s="21" t="n"/>
      <c r="O125" s="21" t="n"/>
      <c r="P125" s="18" t="inlineStr">
        <is>
          <t>Urine Analysis</t>
        </is>
      </c>
      <c r="Q125" s="18" t="inlineStr">
        <is>
          <t>Urine Analysis</t>
        </is>
      </c>
      <c r="R125" s="9" t="inlineStr">
        <is>
          <t>Negative</t>
        </is>
      </c>
      <c r="S125" s="10" t="inlineStr">
        <is>
          <t>Any positive finding</t>
        </is>
      </c>
      <c r="T125" s="11" t="inlineStr">
        <is>
          <t>Significant finding</t>
        </is>
      </c>
      <c r="U125" s="12" t="inlineStr">
        <is>
          <t>Severe finding</t>
        </is>
      </c>
      <c r="V125" s="16" t="inlineStr">
        <is>
          <t>No</t>
        </is>
      </c>
      <c r="W125" s="16" t="inlineStr">
        <is>
          <t>No</t>
        </is>
      </c>
      <c r="X125" s="25" t="inlineStr">
        <is>
          <t>U</t>
        </is>
      </c>
    </row>
    <row r="126" ht="16" customHeight="1">
      <c r="A126" s="18" t="n">
        <v>125</v>
      </c>
      <c r="B126" s="18" t="inlineStr">
        <is>
          <t>Urinary Glucose</t>
        </is>
      </c>
      <c r="C126" t="inlineStr">
        <is>
          <t>Urinary Glucose</t>
        </is>
      </c>
      <c r="D126" s="18" t="inlineStr">
        <is>
          <t>Normal</t>
        </is>
      </c>
      <c r="E126" s="18" t="n"/>
      <c r="G126" s="18" t="n"/>
      <c r="I126" s="18" t="inlineStr">
        <is>
          <t>Yes</t>
        </is>
      </c>
      <c r="K126" s="18" t="n"/>
      <c r="L126" s="18" t="n"/>
      <c r="M126" s="18" t="n"/>
      <c r="N126" s="21" t="n"/>
      <c r="O126" s="21" t="n"/>
      <c r="P126" s="18" t="inlineStr">
        <is>
          <t>Urine Analysis</t>
        </is>
      </c>
      <c r="Q126" s="18" t="inlineStr">
        <is>
          <t>Urine Analysis</t>
        </is>
      </c>
      <c r="R126" s="9" t="inlineStr">
        <is>
          <t>Negative</t>
        </is>
      </c>
      <c r="S126" s="10" t="inlineStr">
        <is>
          <t>Any positive finding</t>
        </is>
      </c>
      <c r="T126" s="11" t="inlineStr">
        <is>
          <t>Significant finding</t>
        </is>
      </c>
      <c r="U126" s="12" t="inlineStr">
        <is>
          <t>Severe finding</t>
        </is>
      </c>
      <c r="V126" s="16" t="inlineStr">
        <is>
          <t>No</t>
        </is>
      </c>
      <c r="W126" s="16" t="inlineStr">
        <is>
          <t>No</t>
        </is>
      </c>
      <c r="X126" s="25" t="inlineStr">
        <is>
          <t>U</t>
        </is>
      </c>
    </row>
    <row r="127" ht="16" customHeight="1">
      <c r="A127" s="18" t="n">
        <v>126</v>
      </c>
      <c r="B127" s="18" t="inlineStr">
        <is>
          <t>Creatinine Urine</t>
        </is>
      </c>
      <c r="C127" t="inlineStr">
        <is>
          <t>Urine Creatinine</t>
        </is>
      </c>
      <c r="D127" s="18" t="inlineStr">
        <is>
          <t>Normal</t>
        </is>
      </c>
      <c r="E127" s="18" t="n"/>
      <c r="G127" s="18" t="n"/>
      <c r="I127" s="18" t="inlineStr">
        <is>
          <t>Yes</t>
        </is>
      </c>
      <c r="K127" s="18" t="n"/>
      <c r="L127" s="18" t="n"/>
      <c r="M127" s="18" t="n"/>
      <c r="N127" s="21" t="n"/>
      <c r="O127" s="21" t="n"/>
      <c r="P127" s="18" t="inlineStr">
        <is>
          <t>Urine Analysis</t>
        </is>
      </c>
      <c r="Q127" s="18" t="inlineStr">
        <is>
          <t>Urine Analysis</t>
        </is>
      </c>
      <c r="R127" s="9" t="inlineStr">
        <is>
          <t>40.0 – 300.0</t>
        </is>
      </c>
      <c r="S127" s="10" t="inlineStr">
        <is>
          <t>-38.0 – 40.0  or  300.0 – 378.0</t>
        </is>
      </c>
      <c r="T127" s="11" t="inlineStr">
        <is>
          <t>-220.0 – -38.0  or  378.0 – 560.0</t>
        </is>
      </c>
      <c r="U127" s="12" t="inlineStr">
        <is>
          <t>&lt; -220.0  or  &gt; 560.0</t>
        </is>
      </c>
      <c r="V127" s="16" t="inlineStr">
        <is>
          <t>No</t>
        </is>
      </c>
      <c r="W127" s="16" t="inlineStr">
        <is>
          <t>No</t>
        </is>
      </c>
      <c r="X127" s="25" t="inlineStr">
        <is>
          <t>U</t>
        </is>
      </c>
    </row>
    <row r="128" ht="16" customHeight="1">
      <c r="A128" s="18" t="n">
        <v>127</v>
      </c>
      <c r="B128" s="18" t="inlineStr">
        <is>
          <t>Leucocyte Esterase</t>
        </is>
      </c>
      <c r="C128" t="inlineStr">
        <is>
          <t>WBC Enzyme (UTI Marker)</t>
        </is>
      </c>
      <c r="D128" s="18" t="inlineStr">
        <is>
          <t>Normal</t>
        </is>
      </c>
      <c r="E128" s="18" t="n"/>
      <c r="G128" s="18" t="n"/>
      <c r="I128" s="18" t="inlineStr">
        <is>
          <t>Yes</t>
        </is>
      </c>
      <c r="K128" s="18" t="n"/>
      <c r="L128" s="18" t="n"/>
      <c r="M128" s="18" t="n"/>
      <c r="N128" s="21" t="n"/>
      <c r="O128" s="21" t="n"/>
      <c r="P128" s="18" t="inlineStr">
        <is>
          <t>Urine Analysis</t>
        </is>
      </c>
      <c r="Q128" s="18" t="inlineStr">
        <is>
          <t>Urine Analysis</t>
        </is>
      </c>
      <c r="R128" s="9" t="inlineStr">
        <is>
          <t>Negative</t>
        </is>
      </c>
      <c r="S128" s="10" t="inlineStr">
        <is>
          <t>Any positive finding</t>
        </is>
      </c>
      <c r="T128" s="11" t="inlineStr">
        <is>
          <t>Significant finding</t>
        </is>
      </c>
      <c r="U128" s="12" t="inlineStr">
        <is>
          <t>Severe finding</t>
        </is>
      </c>
      <c r="V128" s="16" t="inlineStr">
        <is>
          <t>No</t>
        </is>
      </c>
      <c r="W128" s="16" t="inlineStr">
        <is>
          <t>No</t>
        </is>
      </c>
      <c r="X128" s="25" t="inlineStr">
        <is>
          <t>U</t>
        </is>
      </c>
    </row>
    <row r="129" ht="16" customHeight="1">
      <c r="A129" s="18" t="n">
        <v>128</v>
      </c>
      <c r="B129" s="18" t="inlineStr">
        <is>
          <t>Nitrite</t>
        </is>
      </c>
      <c r="C129" t="inlineStr">
        <is>
          <t>Nitrite (UTI Marker)</t>
        </is>
      </c>
      <c r="D129" s="18" t="inlineStr">
        <is>
          <t>Normal</t>
        </is>
      </c>
      <c r="E129" s="18" t="n"/>
      <c r="G129" s="18" t="n"/>
      <c r="I129" s="18" t="inlineStr">
        <is>
          <t>Yes</t>
        </is>
      </c>
      <c r="K129" s="18" t="n"/>
      <c r="L129" s="18" t="n"/>
      <c r="M129" s="18" t="n"/>
      <c r="N129" s="21" t="n"/>
      <c r="O129" s="21" t="n"/>
      <c r="P129" s="18" t="inlineStr">
        <is>
          <t>Urine Analysis</t>
        </is>
      </c>
      <c r="Q129" s="18" t="inlineStr">
        <is>
          <t>Urine Analysis</t>
        </is>
      </c>
      <c r="R129" s="9" t="inlineStr">
        <is>
          <t>Negative</t>
        </is>
      </c>
      <c r="S129" s="10" t="inlineStr">
        <is>
          <t>Any positive finding</t>
        </is>
      </c>
      <c r="T129" s="11" t="inlineStr">
        <is>
          <t>Significant finding</t>
        </is>
      </c>
      <c r="U129" s="12" t="inlineStr">
        <is>
          <t>Severe finding</t>
        </is>
      </c>
      <c r="V129" s="16" t="inlineStr">
        <is>
          <t>No</t>
        </is>
      </c>
      <c r="W129" s="16" t="inlineStr">
        <is>
          <t>No</t>
        </is>
      </c>
      <c r="X129" s="25" t="inlineStr">
        <is>
          <t>U</t>
        </is>
      </c>
    </row>
    <row r="130" ht="16" customHeight="1">
      <c r="A130" s="18" t="n">
        <v>129</v>
      </c>
      <c r="B130" s="18" t="inlineStr">
        <is>
          <t>Specific Gravity</t>
        </is>
      </c>
      <c r="C130" t="inlineStr">
        <is>
          <t>Urine Concentration</t>
        </is>
      </c>
      <c r="D130" s="18" t="inlineStr">
        <is>
          <t>Normal</t>
        </is>
      </c>
      <c r="E130" s="18" t="n"/>
      <c r="G130" s="18" t="n"/>
      <c r="I130" s="18" t="inlineStr">
        <is>
          <t>Yes</t>
        </is>
      </c>
      <c r="K130" s="18" t="n"/>
      <c r="L130" s="18" t="n"/>
      <c r="M130" s="18" t="n"/>
      <c r="N130" s="21" t="n"/>
      <c r="O130" s="21" t="n"/>
      <c r="P130" s="18" t="inlineStr">
        <is>
          <t>Urine Analysis</t>
        </is>
      </c>
      <c r="Q130" s="18" t="inlineStr">
        <is>
          <t>Urine Analysis</t>
        </is>
      </c>
      <c r="R130" s="9" t="inlineStr">
        <is>
          <t>1.005 – 1.03</t>
        </is>
      </c>
      <c r="S130" s="10" t="inlineStr">
        <is>
          <t>1.0 – 1.005  or  1.03 – 1.04</t>
        </is>
      </c>
      <c r="T130" s="11" t="inlineStr">
        <is>
          <t>0.98 – 1.0  or  1.04 – 1.06</t>
        </is>
      </c>
      <c r="U130" s="12" t="inlineStr">
        <is>
          <t>&lt; 0.98  or  &gt; 1.06</t>
        </is>
      </c>
      <c r="V130" s="16" t="inlineStr">
        <is>
          <t>No</t>
        </is>
      </c>
      <c r="W130" s="16" t="inlineStr">
        <is>
          <t>No</t>
        </is>
      </c>
      <c r="X130" s="25" t="inlineStr">
        <is>
          <t>U</t>
        </is>
      </c>
    </row>
    <row r="131" ht="16" customHeight="1">
      <c r="A131" s="18" t="n">
        <v>130</v>
      </c>
      <c r="B131" s="18" t="inlineStr">
        <is>
          <t>Appearance</t>
        </is>
      </c>
      <c r="C131" t="inlineStr">
        <is>
          <t>Urine Appearance</t>
        </is>
      </c>
      <c r="D131" s="18" t="inlineStr">
        <is>
          <t>Normal</t>
        </is>
      </c>
      <c r="E131" s="18" t="n"/>
      <c r="G131" s="18" t="n"/>
      <c r="I131" s="18" t="inlineStr">
        <is>
          <t>Yes</t>
        </is>
      </c>
      <c r="K131" s="18" t="n"/>
      <c r="L131" s="18" t="n"/>
      <c r="M131" s="18" t="n"/>
      <c r="N131" s="21" t="n"/>
      <c r="O131" s="21" t="n"/>
      <c r="P131" s="18" t="inlineStr">
        <is>
          <t>Urine Analysis</t>
        </is>
      </c>
      <c r="Q131" s="18" t="inlineStr">
        <is>
          <t>Urine Analysis</t>
        </is>
      </c>
      <c r="R131" s="9" t="inlineStr">
        <is>
          <t>Clear</t>
        </is>
      </c>
      <c r="S131" s="10" t="inlineStr">
        <is>
          <t>Any positive finding</t>
        </is>
      </c>
      <c r="T131" s="11" t="inlineStr">
        <is>
          <t>Significant finding</t>
        </is>
      </c>
      <c r="U131" s="12" t="inlineStr">
        <is>
          <t>Severe finding</t>
        </is>
      </c>
      <c r="V131" s="16" t="inlineStr">
        <is>
          <t>No</t>
        </is>
      </c>
      <c r="W131" s="16" t="inlineStr">
        <is>
          <t>No</t>
        </is>
      </c>
      <c r="X131" s="25" t="inlineStr">
        <is>
          <t>U</t>
        </is>
      </c>
    </row>
    <row r="132" ht="16" customHeight="1">
      <c r="A132" s="18" t="n">
        <v>131</v>
      </c>
      <c r="B132" s="18" t="inlineStr">
        <is>
          <t>Ferritin</t>
        </is>
      </c>
      <c r="C132" t="inlineStr">
        <is>
          <t>Iron Storage</t>
        </is>
      </c>
      <c r="D132" s="18" t="inlineStr">
        <is>
          <t>Normal</t>
        </is>
      </c>
      <c r="E132" s="18" t="n"/>
      <c r="G132" s="18" t="n"/>
      <c r="I132" s="18" t="n"/>
      <c r="J132" t="inlineStr">
        <is>
          <t>Yes</t>
        </is>
      </c>
      <c r="K132" s="18" t="n"/>
      <c r="L132" s="18" t="n"/>
      <c r="M132" s="18" t="n"/>
      <c r="N132" s="21" t="n"/>
      <c r="O132" s="21" t="n"/>
      <c r="P132" s="18" t="inlineStr">
        <is>
          <t>Blood Test</t>
        </is>
      </c>
      <c r="Q132" s="18" t="inlineStr">
        <is>
          <t>Blood Report</t>
        </is>
      </c>
      <c r="R132" s="9" t="inlineStr">
        <is>
          <t>4.63 – 204.0</t>
        </is>
      </c>
      <c r="S132" s="10" t="inlineStr">
        <is>
          <t>-55.18 – 4.63  or  204.0 – 263.81</t>
        </is>
      </c>
      <c r="T132" s="11" t="inlineStr">
        <is>
          <t>-194.74 – -55.18  or  263.81 – 403.37</t>
        </is>
      </c>
      <c r="U132" s="12" t="inlineStr">
        <is>
          <t>&lt; -194.74  or  &gt; 403.37</t>
        </is>
      </c>
      <c r="V132" s="16" t="inlineStr">
        <is>
          <t>No</t>
        </is>
      </c>
      <c r="W132" s="16" t="inlineStr">
        <is>
          <t>No</t>
        </is>
      </c>
      <c r="X132" s="25" t="inlineStr">
        <is>
          <t>U</t>
        </is>
      </c>
    </row>
    <row r="133" ht="16" customHeight="1">
      <c r="A133" s="18" t="n">
        <v>132</v>
      </c>
      <c r="B133" s="18" t="inlineStr">
        <is>
          <t>Neutrophils - Count</t>
        </is>
      </c>
      <c r="C133" t="inlineStr">
        <is>
          <t>Neutrophil Absolute Count</t>
        </is>
      </c>
      <c r="D133" s="18" t="inlineStr">
        <is>
          <t>Normal</t>
        </is>
      </c>
      <c r="E133" s="18" t="n"/>
      <c r="G133" s="18" t="n"/>
      <c r="I133" s="18" t="n"/>
      <c r="J133" t="inlineStr">
        <is>
          <t>Yes</t>
        </is>
      </c>
      <c r="K133" s="18" t="n"/>
      <c r="L133" s="18" t="n"/>
      <c r="M133" s="18" t="n"/>
      <c r="N133" s="21" t="n"/>
      <c r="O133" s="21" t="n"/>
      <c r="P133" s="18" t="inlineStr">
        <is>
          <t>Blood Test</t>
        </is>
      </c>
      <c r="Q133" s="18" t="inlineStr">
        <is>
          <t>Blood Report</t>
        </is>
      </c>
      <c r="R133" s="9" t="inlineStr">
        <is>
          <t>1.8 – 7.7</t>
        </is>
      </c>
      <c r="S133" s="10" t="inlineStr">
        <is>
          <t>0.03 – 1.8  or  7.7 – 9.47</t>
        </is>
      </c>
      <c r="T133" s="11" t="inlineStr">
        <is>
          <t>-4.1 – 0.03  or  9.47 – 13.6</t>
        </is>
      </c>
      <c r="U133" s="12" t="inlineStr">
        <is>
          <t>&lt; -4.1  or  &gt; 13.6</t>
        </is>
      </c>
      <c r="V133" s="16" t="inlineStr">
        <is>
          <t>No</t>
        </is>
      </c>
      <c r="W133" s="16" t="inlineStr">
        <is>
          <t>No</t>
        </is>
      </c>
      <c r="X133" s="25" t="inlineStr">
        <is>
          <t>U</t>
        </is>
      </c>
      <c r="Y133">
        <f> Neutrophils (%)</f>
        <v/>
      </c>
    </row>
    <row r="134" ht="16" customHeight="1">
      <c r="A134" s="18" t="n">
        <v>133</v>
      </c>
      <c r="B134" s="18" t="inlineStr">
        <is>
          <t>ST Segment</t>
        </is>
      </c>
      <c r="C134" t="inlineStr">
        <is>
          <t>ECG: ST Segment</t>
        </is>
      </c>
      <c r="D134" s="18" t="inlineStr">
        <is>
          <t>Normal</t>
        </is>
      </c>
      <c r="E134" s="18" t="inlineStr">
        <is>
          <t>Yes</t>
        </is>
      </c>
      <c r="G134" s="18" t="n"/>
      <c r="I134" s="18" t="n"/>
      <c r="K134" s="18" t="n"/>
      <c r="L134" s="18" t="n"/>
      <c r="M134" s="18" t="n"/>
      <c r="N134" s="21" t="n"/>
      <c r="O134" s="21" t="n"/>
      <c r="P134" s="18" t="inlineStr">
        <is>
          <t>ECG</t>
        </is>
      </c>
      <c r="Q134" s="18" t="inlineStr">
        <is>
          <t>ECG Report</t>
        </is>
      </c>
      <c r="R134" s="9" t="inlineStr">
        <is>
          <t>Normal</t>
        </is>
      </c>
      <c r="S134" s="10" t="inlineStr">
        <is>
          <t>Any positive finding</t>
        </is>
      </c>
      <c r="T134" s="11" t="inlineStr">
        <is>
          <t>Significant finding</t>
        </is>
      </c>
      <c r="U134" s="12" t="inlineStr">
        <is>
          <t>Severe finding</t>
        </is>
      </c>
      <c r="V134" s="13" t="inlineStr">
        <is>
          <t>Yes</t>
        </is>
      </c>
      <c r="W134" s="16" t="inlineStr">
        <is>
          <t>No</t>
        </is>
      </c>
      <c r="X134" s="25" t="inlineStr">
        <is>
          <t>U</t>
        </is>
      </c>
    </row>
    <row r="135" ht="16" customHeight="1">
      <c r="A135" s="18" t="n">
        <v>134</v>
      </c>
      <c r="B135" s="18" t="inlineStr">
        <is>
          <t>Mineral Bone Density (Z-Score)</t>
        </is>
      </c>
      <c r="C135" t="inlineStr">
        <is>
          <t>Bone Density Z-Score</t>
        </is>
      </c>
      <c r="D135" s="18" t="inlineStr">
        <is>
          <t>Normal</t>
        </is>
      </c>
      <c r="E135" s="18" t="inlineStr">
        <is>
          <t>No</t>
        </is>
      </c>
      <c r="F135" t="inlineStr">
        <is>
          <t>No</t>
        </is>
      </c>
      <c r="G135" s="18" t="inlineStr">
        <is>
          <t>No</t>
        </is>
      </c>
      <c r="H135" t="inlineStr">
        <is>
          <t>No</t>
        </is>
      </c>
      <c r="I135" s="18" t="inlineStr">
        <is>
          <t>No</t>
        </is>
      </c>
      <c r="J135" t="inlineStr">
        <is>
          <t>No</t>
        </is>
      </c>
      <c r="K135" s="18" t="inlineStr">
        <is>
          <t>Yes</t>
        </is>
      </c>
      <c r="L135" s="18" t="inlineStr">
        <is>
          <t>No</t>
        </is>
      </c>
      <c r="M135" s="18" t="inlineStr">
        <is>
          <t>No</t>
        </is>
      </c>
      <c r="N135" s="21" t="inlineStr">
        <is>
          <t>No</t>
        </is>
      </c>
      <c r="O135" s="21" t="inlineStr">
        <is>
          <t>No</t>
        </is>
      </c>
      <c r="P135" s="18" t="inlineStr">
        <is>
          <t>DEXA Scan</t>
        </is>
      </c>
      <c r="Q135" s="18" t="inlineStr">
        <is>
          <t>DEXA Report</t>
        </is>
      </c>
      <c r="R135" s="9" t="n"/>
      <c r="S135" s="10" t="inlineStr">
        <is>
          <t>—</t>
        </is>
      </c>
      <c r="T135" s="11" t="inlineStr">
        <is>
          <t>—</t>
        </is>
      </c>
      <c r="U135" s="12" t="inlineStr">
        <is>
          <t>—</t>
        </is>
      </c>
      <c r="V135" s="13" t="inlineStr">
        <is>
          <t>Yes</t>
        </is>
      </c>
      <c r="W135" s="14" t="inlineStr">
        <is>
          <t>Yes</t>
        </is>
      </c>
      <c r="X135" s="25" t="inlineStr">
        <is>
          <t>U</t>
        </is>
      </c>
    </row>
    <row r="136" ht="16" customHeight="1">
      <c r="A136" s="18" t="n">
        <v>135</v>
      </c>
      <c r="B136" s="18" t="inlineStr">
        <is>
          <t>Mineral Bone Density (T-Score)</t>
        </is>
      </c>
      <c r="C136" t="inlineStr">
        <is>
          <t>Bone Density T-Score</t>
        </is>
      </c>
      <c r="D136" s="18" t="inlineStr">
        <is>
          <t>Normal</t>
        </is>
      </c>
      <c r="E136" s="18" t="inlineStr">
        <is>
          <t>No</t>
        </is>
      </c>
      <c r="F136" t="inlineStr">
        <is>
          <t>No</t>
        </is>
      </c>
      <c r="G136" s="18" t="inlineStr">
        <is>
          <t>No</t>
        </is>
      </c>
      <c r="H136" t="inlineStr">
        <is>
          <t>No</t>
        </is>
      </c>
      <c r="I136" s="18" t="inlineStr">
        <is>
          <t>No</t>
        </is>
      </c>
      <c r="J136" t="inlineStr">
        <is>
          <t>No</t>
        </is>
      </c>
      <c r="K136" s="18" t="inlineStr">
        <is>
          <t>Yes</t>
        </is>
      </c>
      <c r="L136" s="18" t="inlineStr">
        <is>
          <t>No</t>
        </is>
      </c>
      <c r="M136" s="18" t="inlineStr">
        <is>
          <t>No</t>
        </is>
      </c>
      <c r="N136" s="21" t="inlineStr">
        <is>
          <t>No</t>
        </is>
      </c>
      <c r="O136" s="21" t="inlineStr">
        <is>
          <t>No</t>
        </is>
      </c>
      <c r="P136" s="18" t="inlineStr">
        <is>
          <t>DEXA Scan</t>
        </is>
      </c>
      <c r="Q136" s="18" t="inlineStr">
        <is>
          <t>DEXA Report</t>
        </is>
      </c>
      <c r="R136" s="9" t="n"/>
      <c r="S136" s="10" t="inlineStr">
        <is>
          <t>—</t>
        </is>
      </c>
      <c r="T136" s="11" t="inlineStr">
        <is>
          <t>—</t>
        </is>
      </c>
      <c r="U136" s="12" t="inlineStr">
        <is>
          <t>—</t>
        </is>
      </c>
      <c r="V136" s="13" t="inlineStr">
        <is>
          <t>Yes</t>
        </is>
      </c>
      <c r="W136" s="14" t="inlineStr">
        <is>
          <t>Yes</t>
        </is>
      </c>
      <c r="X136" s="25" t="inlineStr">
        <is>
          <t>U</t>
        </is>
      </c>
    </row>
    <row r="137" ht="16" customHeight="1">
      <c r="A137" s="18" t="n">
        <v>136</v>
      </c>
      <c r="B137" s="18" t="inlineStr">
        <is>
          <t>RSMI</t>
        </is>
      </c>
      <c r="C137" t="inlineStr">
        <is>
          <t>Relative Skeletal Muscle Index</t>
        </is>
      </c>
      <c r="D137" s="18" t="inlineStr">
        <is>
          <t>Normal</t>
        </is>
      </c>
      <c r="E137" s="18" t="n"/>
      <c r="G137" s="18" t="n"/>
      <c r="I137" s="18" t="n"/>
      <c r="K137" s="18" t="inlineStr">
        <is>
          <t>Yes</t>
        </is>
      </c>
      <c r="L137" s="18" t="n"/>
      <c r="M137" s="18" t="n"/>
      <c r="N137" s="21" t="n"/>
      <c r="O137" s="21" t="n"/>
      <c r="P137" s="18" t="inlineStr">
        <is>
          <t>DEXA Scan</t>
        </is>
      </c>
      <c r="Q137" s="18" t="inlineStr">
        <is>
          <t>DEXA Report</t>
        </is>
      </c>
      <c r="R137" s="9" t="inlineStr">
        <is>
          <t>≥ 7.26</t>
        </is>
      </c>
      <c r="S137" s="10" t="inlineStr">
        <is>
          <t>5.81 – 7.26</t>
        </is>
      </c>
      <c r="T137" s="11" t="inlineStr">
        <is>
          <t>3.63 – 5.81</t>
        </is>
      </c>
      <c r="U137" s="12" t="inlineStr">
        <is>
          <t>&lt; 3.63</t>
        </is>
      </c>
      <c r="V137" s="13" t="inlineStr">
        <is>
          <t>Yes</t>
        </is>
      </c>
      <c r="W137" s="14" t="inlineStr">
        <is>
          <t>Yes</t>
        </is>
      </c>
      <c r="X137" s="25" t="inlineStr">
        <is>
          <t>U</t>
        </is>
      </c>
    </row>
    <row r="138" ht="16" customHeight="1">
      <c r="A138" s="18" t="n">
        <v>137</v>
      </c>
      <c r="B138" s="18" t="inlineStr">
        <is>
          <t>Lean Mass</t>
        </is>
      </c>
      <c r="C138" t="inlineStr">
        <is>
          <t>Lean Body Mass</t>
        </is>
      </c>
      <c r="D138" s="18" t="inlineStr">
        <is>
          <t>Normal</t>
        </is>
      </c>
      <c r="E138" s="18" t="n"/>
      <c r="G138" s="18" t="n"/>
      <c r="I138" s="18" t="n"/>
      <c r="K138" s="18" t="inlineStr">
        <is>
          <t>Yes</t>
        </is>
      </c>
      <c r="L138" s="18" t="n"/>
      <c r="M138" s="18" t="n"/>
      <c r="N138" s="21" t="n"/>
      <c r="O138" s="21" t="n"/>
      <c r="P138" s="18" t="inlineStr">
        <is>
          <t>DEXA Scan</t>
        </is>
      </c>
      <c r="Q138" s="18" t="inlineStr">
        <is>
          <t>DEXA Report</t>
        </is>
      </c>
      <c r="R138" s="9" t="inlineStr">
        <is>
          <t>—</t>
        </is>
      </c>
      <c r="S138" s="10" t="inlineStr">
        <is>
          <t>—</t>
        </is>
      </c>
      <c r="T138" s="11" t="inlineStr">
        <is>
          <t>—</t>
        </is>
      </c>
      <c r="U138" s="12" t="inlineStr">
        <is>
          <t>—</t>
        </is>
      </c>
      <c r="V138" s="13" t="inlineStr">
        <is>
          <t>Yes</t>
        </is>
      </c>
      <c r="W138" s="14" t="inlineStr">
        <is>
          <t>Yes</t>
        </is>
      </c>
      <c r="X138" s="25" t="inlineStr">
        <is>
          <t>U</t>
        </is>
      </c>
    </row>
    <row r="139" ht="16" customHeight="1">
      <c r="A139" s="18" t="n">
        <v>138</v>
      </c>
      <c r="B139" s="18" t="inlineStr">
        <is>
          <t>Pelvic lymphnodes</t>
        </is>
      </c>
      <c r="C139" t="inlineStr">
        <is>
          <t>USG: Pelvic Lymph Nodes</t>
        </is>
      </c>
      <c r="D139" s="18" t="inlineStr">
        <is>
          <t>Normal</t>
        </is>
      </c>
      <c r="E139" s="18" t="n"/>
      <c r="G139" s="18" t="n"/>
      <c r="I139" s="18" t="inlineStr">
        <is>
          <t>Yes</t>
        </is>
      </c>
      <c r="K139" s="18" t="n"/>
      <c r="L139" s="18" t="n"/>
      <c r="M139" s="18" t="n"/>
      <c r="N139" s="21" t="n"/>
      <c r="O139" s="21" t="n"/>
      <c r="P139" s="18" t="inlineStr">
        <is>
          <t>USG</t>
        </is>
      </c>
      <c r="Q139" s="18" t="inlineStr">
        <is>
          <t>Scan Findings (USG)</t>
        </is>
      </c>
      <c r="R139" s="9" t="inlineStr">
        <is>
          <t>Normal</t>
        </is>
      </c>
      <c r="S139" s="10" t="inlineStr">
        <is>
          <t>Any positive finding</t>
        </is>
      </c>
      <c r="T139" s="11" t="inlineStr">
        <is>
          <t>Significant finding</t>
        </is>
      </c>
      <c r="U139" s="12" t="inlineStr">
        <is>
          <t>Severe finding</t>
        </is>
      </c>
      <c r="V139" s="16" t="inlineStr">
        <is>
          <t>No</t>
        </is>
      </c>
      <c r="W139" s="16" t="inlineStr">
        <is>
          <t>No</t>
        </is>
      </c>
      <c r="X139" s="25" t="inlineStr">
        <is>
          <t>U</t>
        </is>
      </c>
    </row>
    <row r="140" ht="16" customHeight="1">
      <c r="A140" s="18" t="n">
        <v>139</v>
      </c>
      <c r="B140" s="18" t="inlineStr">
        <is>
          <t>Pelvic cavity</t>
        </is>
      </c>
      <c r="C140" t="inlineStr">
        <is>
          <t>USG: Pelvic Cavity</t>
        </is>
      </c>
      <c r="D140" s="18" t="inlineStr">
        <is>
          <t>Normal</t>
        </is>
      </c>
      <c r="E140" s="18" t="n"/>
      <c r="G140" s="18" t="n"/>
      <c r="I140" s="18" t="inlineStr">
        <is>
          <t>Yes</t>
        </is>
      </c>
      <c r="K140" s="18" t="n"/>
      <c r="L140" s="18" t="n"/>
      <c r="M140" s="18" t="n"/>
      <c r="N140" s="21" t="n"/>
      <c r="O140" s="21" t="n"/>
      <c r="P140" s="18" t="inlineStr">
        <is>
          <t>USG</t>
        </is>
      </c>
      <c r="Q140" s="18" t="inlineStr">
        <is>
          <t>Scan Findings (USG)</t>
        </is>
      </c>
      <c r="R140" s="9" t="inlineStr">
        <is>
          <t>Normal</t>
        </is>
      </c>
      <c r="S140" s="10" t="inlineStr">
        <is>
          <t>Any positive finding</t>
        </is>
      </c>
      <c r="T140" s="11" t="inlineStr">
        <is>
          <t>Significant finding</t>
        </is>
      </c>
      <c r="U140" s="12" t="inlineStr">
        <is>
          <t>Severe finding</t>
        </is>
      </c>
      <c r="V140" s="16" t="inlineStr">
        <is>
          <t>No</t>
        </is>
      </c>
      <c r="W140" s="16" t="inlineStr">
        <is>
          <t>No</t>
        </is>
      </c>
      <c r="X140" s="25" t="inlineStr">
        <is>
          <t>U</t>
        </is>
      </c>
    </row>
    <row r="141" ht="16" customHeight="1">
      <c r="A141" s="18" t="n">
        <v>140</v>
      </c>
      <c r="B141" s="18" t="inlineStr">
        <is>
          <t>Pelvic soft tissues</t>
        </is>
      </c>
      <c r="C141" t="inlineStr">
        <is>
          <t>USG: Pelvic Soft Tissues</t>
        </is>
      </c>
      <c r="D141" s="18" t="inlineStr">
        <is>
          <t>Normal</t>
        </is>
      </c>
      <c r="E141" s="18" t="n"/>
      <c r="G141" s="18" t="n"/>
      <c r="I141" s="18" t="inlineStr">
        <is>
          <t>Yes</t>
        </is>
      </c>
      <c r="K141" s="18" t="n"/>
      <c r="L141" s="18" t="n"/>
      <c r="M141" s="18" t="n"/>
      <c r="N141" s="21" t="n"/>
      <c r="O141" s="21" t="n"/>
      <c r="P141" s="18" t="inlineStr">
        <is>
          <t>USG</t>
        </is>
      </c>
      <c r="Q141" s="18" t="inlineStr">
        <is>
          <t>Scan Findings (USG)</t>
        </is>
      </c>
      <c r="R141" s="9" t="inlineStr">
        <is>
          <t>Normal</t>
        </is>
      </c>
      <c r="S141" s="10" t="inlineStr">
        <is>
          <t>Any positive finding</t>
        </is>
      </c>
      <c r="T141" s="11" t="inlineStr">
        <is>
          <t>Significant finding</t>
        </is>
      </c>
      <c r="U141" s="12" t="inlineStr">
        <is>
          <t>Severe finding</t>
        </is>
      </c>
      <c r="V141" s="16" t="inlineStr">
        <is>
          <t>No</t>
        </is>
      </c>
      <c r="W141" s="16" t="inlineStr">
        <is>
          <t>No</t>
        </is>
      </c>
      <c r="X141" s="25" t="inlineStr">
        <is>
          <t>U</t>
        </is>
      </c>
    </row>
    <row r="142" ht="16" customHeight="1">
      <c r="A142" s="18" t="n">
        <v>141</v>
      </c>
      <c r="B142" s="18" t="inlineStr">
        <is>
          <t>Other pelvic viscera</t>
        </is>
      </c>
      <c r="C142" t="inlineStr">
        <is>
          <t>USG: Pelvic Viscera</t>
        </is>
      </c>
      <c r="D142" s="18" t="inlineStr">
        <is>
          <t>Normal</t>
        </is>
      </c>
      <c r="E142" s="18" t="n"/>
      <c r="G142" s="18" t="n"/>
      <c r="I142" s="18" t="inlineStr">
        <is>
          <t>Yes</t>
        </is>
      </c>
      <c r="K142" s="18" t="n"/>
      <c r="L142" s="18" t="n"/>
      <c r="M142" s="18" t="n"/>
      <c r="N142" s="21" t="n"/>
      <c r="O142" s="21" t="n"/>
      <c r="P142" s="18" t="inlineStr">
        <is>
          <t>USG</t>
        </is>
      </c>
      <c r="Q142" s="18" t="inlineStr">
        <is>
          <t>Scan Findings (USG)</t>
        </is>
      </c>
      <c r="R142" s="9" t="inlineStr">
        <is>
          <t>Normal</t>
        </is>
      </c>
      <c r="S142" s="10" t="inlineStr">
        <is>
          <t>Any positive finding</t>
        </is>
      </c>
      <c r="T142" s="11" t="inlineStr">
        <is>
          <t>Significant finding</t>
        </is>
      </c>
      <c r="U142" s="12" t="inlineStr">
        <is>
          <t>Severe finding</t>
        </is>
      </c>
      <c r="V142" s="16" t="inlineStr">
        <is>
          <t>No</t>
        </is>
      </c>
      <c r="W142" s="16" t="inlineStr">
        <is>
          <t>No</t>
        </is>
      </c>
      <c r="X142" s="25" t="inlineStr">
        <is>
          <t>U</t>
        </is>
      </c>
    </row>
    <row r="143" ht="16" customHeight="1">
      <c r="A143" s="18" t="n">
        <v>142</v>
      </c>
      <c r="B143" s="18" t="inlineStr">
        <is>
          <t>Mesentric vessels</t>
        </is>
      </c>
      <c r="C143" t="inlineStr">
        <is>
          <t>USG: Mesenteric Vessels</t>
        </is>
      </c>
      <c r="D143" s="18" t="inlineStr">
        <is>
          <t>Normal</t>
        </is>
      </c>
      <c r="E143" s="18" t="n"/>
      <c r="G143" s="18" t="n"/>
      <c r="I143" s="18" t="n"/>
      <c r="K143" s="18" t="n"/>
      <c r="L143" s="18" t="n"/>
      <c r="M143" s="18" t="inlineStr">
        <is>
          <t>Yes</t>
        </is>
      </c>
      <c r="N143" s="21" t="n"/>
      <c r="O143" s="21" t="n"/>
      <c r="P143" s="18" t="inlineStr">
        <is>
          <t>USG</t>
        </is>
      </c>
      <c r="Q143" s="18" t="inlineStr">
        <is>
          <t>Scan Findings (USG)</t>
        </is>
      </c>
      <c r="R143" s="9" t="inlineStr">
        <is>
          <t>Normal</t>
        </is>
      </c>
      <c r="S143" s="10" t="inlineStr">
        <is>
          <t>Any positive finding</t>
        </is>
      </c>
      <c r="T143" s="11" t="inlineStr">
        <is>
          <t>Significant finding</t>
        </is>
      </c>
      <c r="U143" s="12" t="inlineStr">
        <is>
          <t>Severe finding</t>
        </is>
      </c>
      <c r="V143" s="16" t="inlineStr">
        <is>
          <t>No</t>
        </is>
      </c>
      <c r="W143" s="16" t="inlineStr">
        <is>
          <t>No</t>
        </is>
      </c>
      <c r="X143" s="25" t="inlineStr">
        <is>
          <t>U</t>
        </is>
      </c>
    </row>
    <row r="144" ht="16" customHeight="1">
      <c r="A144" s="18" t="n">
        <v>143</v>
      </c>
      <c r="B144" s="18" t="inlineStr">
        <is>
          <t>Psoas Muscles</t>
        </is>
      </c>
      <c r="C144" t="inlineStr">
        <is>
          <t>USG: Psoas Muscles</t>
        </is>
      </c>
      <c r="D144" s="18" t="inlineStr">
        <is>
          <t>Normal</t>
        </is>
      </c>
      <c r="E144" s="18" t="n"/>
      <c r="G144" s="18" t="n"/>
      <c r="I144" s="18" t="n"/>
      <c r="K144" s="18" t="inlineStr">
        <is>
          <t>Yes</t>
        </is>
      </c>
      <c r="L144" s="18" t="n"/>
      <c r="M144" s="18" t="n"/>
      <c r="N144" s="21" t="n"/>
      <c r="O144" s="21" t="n"/>
      <c r="P144" s="18" t="inlineStr">
        <is>
          <t>USG</t>
        </is>
      </c>
      <c r="Q144" s="18" t="inlineStr">
        <is>
          <t>Scan Findings (USG)</t>
        </is>
      </c>
      <c r="R144" s="9" t="inlineStr">
        <is>
          <t>Normal</t>
        </is>
      </c>
      <c r="S144" s="10" t="inlineStr">
        <is>
          <t>Any positive finding</t>
        </is>
      </c>
      <c r="T144" s="11" t="inlineStr">
        <is>
          <t>Significant finding</t>
        </is>
      </c>
      <c r="U144" s="12" t="inlineStr">
        <is>
          <t>Severe finding</t>
        </is>
      </c>
      <c r="V144" s="16" t="inlineStr">
        <is>
          <t>No</t>
        </is>
      </c>
      <c r="W144" s="16" t="inlineStr">
        <is>
          <t>No</t>
        </is>
      </c>
      <c r="X144" s="25" t="inlineStr">
        <is>
          <t>U</t>
        </is>
      </c>
    </row>
    <row r="145" ht="16" customHeight="1">
      <c r="A145" s="18" t="n">
        <v>144</v>
      </c>
      <c r="B145" s="18" t="inlineStr">
        <is>
          <t>Peritoneum</t>
        </is>
      </c>
      <c r="C145" t="inlineStr">
        <is>
          <t>USG: Peritoneum</t>
        </is>
      </c>
      <c r="D145" s="18" t="inlineStr">
        <is>
          <t>Normal</t>
        </is>
      </c>
      <c r="E145" s="18" t="n"/>
      <c r="G145" s="18" t="inlineStr">
        <is>
          <t>Yes</t>
        </is>
      </c>
      <c r="I145" s="18" t="n"/>
      <c r="K145" s="18" t="n"/>
      <c r="L145" s="18" t="n"/>
      <c r="M145" s="18" t="n"/>
      <c r="N145" s="21" t="n"/>
      <c r="O145" s="21" t="n"/>
      <c r="P145" s="18" t="inlineStr">
        <is>
          <t>USG</t>
        </is>
      </c>
      <c r="Q145" s="18" t="inlineStr">
        <is>
          <t>Scan Findings (USG)</t>
        </is>
      </c>
      <c r="R145" s="9" t="inlineStr">
        <is>
          <t>Normal</t>
        </is>
      </c>
      <c r="S145" s="10" t="inlineStr">
        <is>
          <t>Any positive finding</t>
        </is>
      </c>
      <c r="T145" s="11" t="inlineStr">
        <is>
          <t>Significant finding</t>
        </is>
      </c>
      <c r="U145" s="12" t="inlineStr">
        <is>
          <t>Severe finding</t>
        </is>
      </c>
      <c r="V145" s="16" t="inlineStr">
        <is>
          <t>No</t>
        </is>
      </c>
      <c r="W145" s="16" t="inlineStr">
        <is>
          <t>No</t>
        </is>
      </c>
      <c r="X145" s="25" t="inlineStr">
        <is>
          <t>U</t>
        </is>
      </c>
    </row>
    <row r="146" ht="16" customHeight="1">
      <c r="A146" s="18" t="n">
        <v>145</v>
      </c>
      <c r="B146" s="18" t="inlineStr">
        <is>
          <t>Retroperitoneum</t>
        </is>
      </c>
      <c r="C146" t="inlineStr">
        <is>
          <t>USG: Retroperitoneum</t>
        </is>
      </c>
      <c r="D146" s="18" t="inlineStr">
        <is>
          <t>Normal</t>
        </is>
      </c>
      <c r="E146" s="18" t="n"/>
      <c r="G146" s="18" t="n"/>
      <c r="I146" s="18" t="inlineStr">
        <is>
          <t>Yes</t>
        </is>
      </c>
      <c r="K146" s="18" t="n"/>
      <c r="L146" s="18" t="n"/>
      <c r="M146" s="18" t="n"/>
      <c r="N146" s="21" t="n"/>
      <c r="O146" s="21" t="n"/>
      <c r="P146" s="18" t="inlineStr">
        <is>
          <t>USG</t>
        </is>
      </c>
      <c r="Q146" s="18" t="inlineStr">
        <is>
          <t>Scan Findings (USG)</t>
        </is>
      </c>
      <c r="R146" s="9" t="inlineStr">
        <is>
          <t>Normal</t>
        </is>
      </c>
      <c r="S146" s="10" t="inlineStr">
        <is>
          <t>Any positive finding</t>
        </is>
      </c>
      <c r="T146" s="11" t="inlineStr">
        <is>
          <t>Significant finding</t>
        </is>
      </c>
      <c r="U146" s="12" t="inlineStr">
        <is>
          <t>Severe finding</t>
        </is>
      </c>
      <c r="V146" s="16" t="inlineStr">
        <is>
          <t>No</t>
        </is>
      </c>
      <c r="W146" s="16" t="inlineStr">
        <is>
          <t>No</t>
        </is>
      </c>
      <c r="X146" s="25" t="inlineStr">
        <is>
          <t>U</t>
        </is>
      </c>
    </row>
    <row r="147" ht="16" customHeight="1">
      <c r="A147" s="18" t="n">
        <v>146</v>
      </c>
      <c r="B147" s="18" t="inlineStr">
        <is>
          <t>Urinary Bladder Contents</t>
        </is>
      </c>
      <c r="C147" t="inlineStr">
        <is>
          <t>USG: Bladder Contents</t>
        </is>
      </c>
      <c r="D147" s="18" t="inlineStr">
        <is>
          <t>Normal</t>
        </is>
      </c>
      <c r="E147" s="18" t="n"/>
      <c r="G147" s="18" t="n"/>
      <c r="I147" s="18" t="inlineStr">
        <is>
          <t>Yes</t>
        </is>
      </c>
      <c r="K147" s="18" t="n"/>
      <c r="L147" s="18" t="n"/>
      <c r="M147" s="18" t="n"/>
      <c r="N147" s="21" t="n"/>
      <c r="O147" s="21" t="n"/>
      <c r="P147" s="18" t="inlineStr">
        <is>
          <t>USG</t>
        </is>
      </c>
      <c r="Q147" s="18" t="inlineStr">
        <is>
          <t>Scan Findings (USG)</t>
        </is>
      </c>
      <c r="R147" s="9" t="inlineStr">
        <is>
          <t>Clear</t>
        </is>
      </c>
      <c r="S147" s="10" t="inlineStr">
        <is>
          <t>Any positive finding</t>
        </is>
      </c>
      <c r="T147" s="11" t="inlineStr">
        <is>
          <t>Significant finding</t>
        </is>
      </c>
      <c r="U147" s="12" t="inlineStr">
        <is>
          <t>Severe finding</t>
        </is>
      </c>
      <c r="V147" s="16" t="inlineStr">
        <is>
          <t>No</t>
        </is>
      </c>
      <c r="W147" s="16" t="inlineStr">
        <is>
          <t>No</t>
        </is>
      </c>
      <c r="X147" s="25" t="inlineStr">
        <is>
          <t>U</t>
        </is>
      </c>
    </row>
    <row r="148" ht="16" customHeight="1">
      <c r="A148" s="18" t="n">
        <v>147</v>
      </c>
      <c r="B148" s="18" t="inlineStr">
        <is>
          <t>Ureters</t>
        </is>
      </c>
      <c r="C148" t="inlineStr">
        <is>
          <t>USG: Ureters</t>
        </is>
      </c>
      <c r="D148" s="18" t="inlineStr">
        <is>
          <t>Normal</t>
        </is>
      </c>
      <c r="E148" s="18" t="n"/>
      <c r="G148" s="18" t="n"/>
      <c r="I148" s="18" t="inlineStr">
        <is>
          <t>Yes</t>
        </is>
      </c>
      <c r="K148" s="18" t="n"/>
      <c r="L148" s="18" t="n"/>
      <c r="M148" s="18" t="n"/>
      <c r="N148" s="21" t="n"/>
      <c r="O148" s="21" t="n"/>
      <c r="P148" s="18" t="inlineStr">
        <is>
          <t>USG</t>
        </is>
      </c>
      <c r="Q148" s="18" t="inlineStr">
        <is>
          <t>Scan Findings (USG)</t>
        </is>
      </c>
      <c r="R148" s="9" t="inlineStr">
        <is>
          <t>Normal</t>
        </is>
      </c>
      <c r="S148" s="10" t="inlineStr">
        <is>
          <t>Any positive finding</t>
        </is>
      </c>
      <c r="T148" s="11" t="inlineStr">
        <is>
          <t>Significant finding</t>
        </is>
      </c>
      <c r="U148" s="12" t="inlineStr">
        <is>
          <t>Severe finding</t>
        </is>
      </c>
      <c r="V148" s="16" t="inlineStr">
        <is>
          <t>No</t>
        </is>
      </c>
      <c r="W148" s="16" t="inlineStr">
        <is>
          <t>No</t>
        </is>
      </c>
      <c r="X148" s="25" t="inlineStr">
        <is>
          <t>U</t>
        </is>
      </c>
    </row>
    <row r="149" ht="16" customHeight="1">
      <c r="A149" s="18" t="n">
        <v>148</v>
      </c>
      <c r="B149" s="18" t="inlineStr">
        <is>
          <t>Peri-renal fat</t>
        </is>
      </c>
      <c r="C149" t="inlineStr">
        <is>
          <t>USG: Peri-renal Fat</t>
        </is>
      </c>
      <c r="D149" s="18" t="inlineStr">
        <is>
          <t>Normal</t>
        </is>
      </c>
      <c r="E149" s="18" t="n"/>
      <c r="G149" s="18" t="n"/>
      <c r="I149" s="18" t="inlineStr">
        <is>
          <t>Yes</t>
        </is>
      </c>
      <c r="K149" s="18" t="n"/>
      <c r="L149" s="18" t="n"/>
      <c r="M149" s="18" t="n"/>
      <c r="N149" s="21" t="n"/>
      <c r="O149" s="21" t="n"/>
      <c r="P149" s="18" t="inlineStr">
        <is>
          <t>USG</t>
        </is>
      </c>
      <c r="Q149" s="18" t="inlineStr">
        <is>
          <t>Scan Findings (USG)</t>
        </is>
      </c>
      <c r="R149" s="9" t="inlineStr">
        <is>
          <t>Normal</t>
        </is>
      </c>
      <c r="S149" s="10" t="inlineStr">
        <is>
          <t>Any positive finding</t>
        </is>
      </c>
      <c r="T149" s="11" t="inlineStr">
        <is>
          <t>Significant finding</t>
        </is>
      </c>
      <c r="U149" s="12" t="inlineStr">
        <is>
          <t>Severe finding</t>
        </is>
      </c>
      <c r="V149" s="16" t="inlineStr">
        <is>
          <t>No</t>
        </is>
      </c>
      <c r="W149" s="16" t="inlineStr">
        <is>
          <t>No</t>
        </is>
      </c>
      <c r="X149" s="25" t="inlineStr">
        <is>
          <t>U</t>
        </is>
      </c>
    </row>
    <row r="150" ht="16" customHeight="1">
      <c r="A150" s="18" t="n">
        <v>149</v>
      </c>
      <c r="B150" s="18" t="inlineStr">
        <is>
          <t>Cortico-sinus signals</t>
        </is>
      </c>
      <c r="C150" t="inlineStr">
        <is>
          <t>USG: Renal Cortico-sinus Signals</t>
        </is>
      </c>
      <c r="D150" s="18" t="inlineStr">
        <is>
          <t>Normal</t>
        </is>
      </c>
      <c r="E150" s="18" t="n"/>
      <c r="G150" s="18" t="n"/>
      <c r="I150" s="18" t="inlineStr">
        <is>
          <t>Yes</t>
        </is>
      </c>
      <c r="K150" s="18" t="n"/>
      <c r="L150" s="18" t="n"/>
      <c r="M150" s="18" t="n"/>
      <c r="N150" s="21" t="n"/>
      <c r="O150" s="21" t="n"/>
      <c r="P150" s="18" t="inlineStr">
        <is>
          <t>USG</t>
        </is>
      </c>
      <c r="Q150" s="18" t="inlineStr">
        <is>
          <t>Scan Findings (USG)</t>
        </is>
      </c>
      <c r="R150" s="9" t="inlineStr">
        <is>
          <t>Normal</t>
        </is>
      </c>
      <c r="S150" s="10" t="inlineStr">
        <is>
          <t>Any positive finding</t>
        </is>
      </c>
      <c r="T150" s="11" t="inlineStr">
        <is>
          <t>Significant finding</t>
        </is>
      </c>
      <c r="U150" s="12" t="inlineStr">
        <is>
          <t>Severe finding</t>
        </is>
      </c>
      <c r="V150" s="16" t="inlineStr">
        <is>
          <t>No</t>
        </is>
      </c>
      <c r="W150" s="16" t="inlineStr">
        <is>
          <t>No</t>
        </is>
      </c>
      <c r="X150" s="25" t="inlineStr">
        <is>
          <t>U</t>
        </is>
      </c>
    </row>
    <row r="151" ht="16" customHeight="1">
      <c r="A151" s="18" t="n">
        <v>150</v>
      </c>
      <c r="B151" s="18" t="inlineStr">
        <is>
          <t>Urinary Bladder Perivesical Fat</t>
        </is>
      </c>
      <c r="C151" t="inlineStr">
        <is>
          <t>USG: Perivesical Fat</t>
        </is>
      </c>
      <c r="D151" s="18" t="inlineStr">
        <is>
          <t>Normal</t>
        </is>
      </c>
      <c r="E151" s="18" t="n"/>
      <c r="G151" s="18" t="n"/>
      <c r="I151" s="18" t="inlineStr">
        <is>
          <t>Yes</t>
        </is>
      </c>
      <c r="K151" s="18" t="n"/>
      <c r="L151" s="18" t="n"/>
      <c r="M151" s="18" t="n"/>
      <c r="N151" s="21" t="n"/>
      <c r="O151" s="21" t="n"/>
      <c r="P151" s="18" t="inlineStr">
        <is>
          <t>USG</t>
        </is>
      </c>
      <c r="Q151" s="18" t="inlineStr">
        <is>
          <t>Scan Findings (USG)</t>
        </is>
      </c>
      <c r="R151" s="9" t="inlineStr">
        <is>
          <t>Normal</t>
        </is>
      </c>
      <c r="S151" s="10" t="inlineStr">
        <is>
          <t>Any positive finding</t>
        </is>
      </c>
      <c r="T151" s="11" t="inlineStr">
        <is>
          <t>Significant finding</t>
        </is>
      </c>
      <c r="U151" s="12" t="inlineStr">
        <is>
          <t>Severe finding</t>
        </is>
      </c>
      <c r="V151" s="16" t="inlineStr">
        <is>
          <t>No</t>
        </is>
      </c>
      <c r="W151" s="16" t="inlineStr">
        <is>
          <t>No</t>
        </is>
      </c>
      <c r="X151" s="25" t="inlineStr">
        <is>
          <t>U</t>
        </is>
      </c>
    </row>
    <row r="152" ht="16" customHeight="1">
      <c r="A152" s="18" t="n">
        <v>151</v>
      </c>
      <c r="B152" s="18" t="inlineStr">
        <is>
          <t>Urinary Bladder Contour</t>
        </is>
      </c>
      <c r="C152" t="inlineStr">
        <is>
          <t>USG: Bladder Contour</t>
        </is>
      </c>
      <c r="D152" s="18" t="inlineStr">
        <is>
          <t>Normal</t>
        </is>
      </c>
      <c r="E152" s="18" t="n"/>
      <c r="G152" s="18" t="n"/>
      <c r="I152" s="18" t="inlineStr">
        <is>
          <t>Yes</t>
        </is>
      </c>
      <c r="K152" s="18" t="n"/>
      <c r="L152" s="18" t="n"/>
      <c r="M152" s="18" t="n"/>
      <c r="N152" s="21" t="n"/>
      <c r="O152" s="21" t="n"/>
      <c r="P152" s="18" t="inlineStr">
        <is>
          <t>USG</t>
        </is>
      </c>
      <c r="Q152" s="18" t="inlineStr">
        <is>
          <t>Scan Findings (USG)</t>
        </is>
      </c>
      <c r="R152" s="9" t="inlineStr">
        <is>
          <t>Normal</t>
        </is>
      </c>
      <c r="S152" s="10" t="inlineStr">
        <is>
          <t>Any positive finding</t>
        </is>
      </c>
      <c r="T152" s="11" t="inlineStr">
        <is>
          <t>Significant finding</t>
        </is>
      </c>
      <c r="U152" s="12" t="inlineStr">
        <is>
          <t>Severe finding</t>
        </is>
      </c>
      <c r="V152" s="16" t="inlineStr">
        <is>
          <t>No</t>
        </is>
      </c>
      <c r="W152" s="16" t="inlineStr">
        <is>
          <t>No</t>
        </is>
      </c>
      <c r="X152" s="25" t="inlineStr">
        <is>
          <t>U</t>
        </is>
      </c>
    </row>
    <row r="153" ht="16" customHeight="1">
      <c r="A153" s="18" t="n">
        <v>152</v>
      </c>
      <c r="B153" s="18" t="inlineStr">
        <is>
          <t>Peri-renal spaces</t>
        </is>
      </c>
      <c r="C153" t="inlineStr">
        <is>
          <t>USG: Peri-renal Spaces</t>
        </is>
      </c>
      <c r="D153" s="18" t="inlineStr">
        <is>
          <t>Normal</t>
        </is>
      </c>
      <c r="E153" s="18" t="n"/>
      <c r="G153" s="18" t="n"/>
      <c r="I153" s="18" t="inlineStr">
        <is>
          <t>Yes</t>
        </is>
      </c>
      <c r="K153" s="18" t="n"/>
      <c r="L153" s="18" t="n"/>
      <c r="M153" s="18" t="n"/>
      <c r="N153" s="21" t="n"/>
      <c r="O153" s="21" t="n"/>
      <c r="P153" s="18" t="inlineStr">
        <is>
          <t>USG</t>
        </is>
      </c>
      <c r="Q153" s="18" t="inlineStr">
        <is>
          <t>Scan Findings (USG)</t>
        </is>
      </c>
      <c r="R153" s="9" t="inlineStr">
        <is>
          <t>Normal</t>
        </is>
      </c>
      <c r="S153" s="10" t="inlineStr">
        <is>
          <t>Any positive finding</t>
        </is>
      </c>
      <c r="T153" s="11" t="inlineStr">
        <is>
          <t>Significant finding</t>
        </is>
      </c>
      <c r="U153" s="12" t="inlineStr">
        <is>
          <t>Severe finding</t>
        </is>
      </c>
      <c r="V153" s="16" t="inlineStr">
        <is>
          <t>No</t>
        </is>
      </c>
      <c r="W153" s="16" t="inlineStr">
        <is>
          <t>No</t>
        </is>
      </c>
      <c r="X153" s="25" t="inlineStr">
        <is>
          <t>U</t>
        </is>
      </c>
    </row>
    <row r="154" ht="16" customHeight="1">
      <c r="A154" s="18" t="n">
        <v>153</v>
      </c>
      <c r="B154" s="18" t="inlineStr">
        <is>
          <t>Renal vessels</t>
        </is>
      </c>
      <c r="C154" t="inlineStr">
        <is>
          <t>USG: Renal Vessels</t>
        </is>
      </c>
      <c r="D154" s="18" t="inlineStr">
        <is>
          <t>Normal</t>
        </is>
      </c>
      <c r="E154" s="18" t="n"/>
      <c r="G154" s="18" t="n"/>
      <c r="I154" s="18" t="n"/>
      <c r="K154" s="18" t="n"/>
      <c r="L154" s="18" t="n"/>
      <c r="M154" s="18" t="inlineStr">
        <is>
          <t>Yes</t>
        </is>
      </c>
      <c r="N154" s="21" t="n"/>
      <c r="O154" s="21" t="n"/>
      <c r="P154" s="18" t="inlineStr">
        <is>
          <t>USG</t>
        </is>
      </c>
      <c r="Q154" s="18" t="inlineStr">
        <is>
          <t>Scan Findings (USG)</t>
        </is>
      </c>
      <c r="R154" s="9" t="inlineStr">
        <is>
          <t>Normal</t>
        </is>
      </c>
      <c r="S154" s="10" t="inlineStr">
        <is>
          <t>Any positive finding</t>
        </is>
      </c>
      <c r="T154" s="11" t="inlineStr">
        <is>
          <t>Significant finding</t>
        </is>
      </c>
      <c r="U154" s="12" t="inlineStr">
        <is>
          <t>Severe finding</t>
        </is>
      </c>
      <c r="V154" s="16" t="inlineStr">
        <is>
          <t>No</t>
        </is>
      </c>
      <c r="W154" s="16" t="inlineStr">
        <is>
          <t>No</t>
        </is>
      </c>
      <c r="X154" s="25" t="inlineStr">
        <is>
          <t>U</t>
        </is>
      </c>
    </row>
    <row r="155" ht="16" customHeight="1">
      <c r="A155" s="18" t="n">
        <v>154</v>
      </c>
      <c r="B155" s="18" t="inlineStr">
        <is>
          <t>Collecting system</t>
        </is>
      </c>
      <c r="C155" t="inlineStr">
        <is>
          <t>USG: Renal Collecting System</t>
        </is>
      </c>
      <c r="D155" s="18" t="inlineStr">
        <is>
          <t>Normal</t>
        </is>
      </c>
      <c r="E155" s="18" t="n"/>
      <c r="G155" s="18" t="n"/>
      <c r="I155" s="18" t="inlineStr">
        <is>
          <t>Yes</t>
        </is>
      </c>
      <c r="K155" s="18" t="n"/>
      <c r="L155" s="18" t="n"/>
      <c r="M155" s="18" t="n"/>
      <c r="N155" s="21" t="n"/>
      <c r="O155" s="21" t="n"/>
      <c r="P155" s="18" t="inlineStr">
        <is>
          <t>USG</t>
        </is>
      </c>
      <c r="Q155" s="18" t="inlineStr">
        <is>
          <t>Scan Findings (USG)</t>
        </is>
      </c>
      <c r="R155" s="9" t="inlineStr">
        <is>
          <t>Normal</t>
        </is>
      </c>
      <c r="S155" s="10" t="inlineStr">
        <is>
          <t>Any positive finding</t>
        </is>
      </c>
      <c r="T155" s="11" t="inlineStr">
        <is>
          <t>Significant finding</t>
        </is>
      </c>
      <c r="U155" s="12" t="inlineStr">
        <is>
          <t>Severe finding</t>
        </is>
      </c>
      <c r="V155" s="16" t="inlineStr">
        <is>
          <t>No</t>
        </is>
      </c>
      <c r="W155" s="16" t="inlineStr">
        <is>
          <t>No</t>
        </is>
      </c>
      <c r="X155" s="25" t="inlineStr">
        <is>
          <t>U</t>
        </is>
      </c>
    </row>
    <row r="156" ht="16" customHeight="1">
      <c r="A156" s="18" t="n">
        <v>155</v>
      </c>
      <c r="B156" s="18" t="inlineStr">
        <is>
          <t>Kidneys Size, outline</t>
        </is>
      </c>
      <c r="C156" t="inlineStr">
        <is>
          <t>USG: Kidney Size &amp; Outline</t>
        </is>
      </c>
      <c r="D156" s="18" t="inlineStr">
        <is>
          <t>Normal</t>
        </is>
      </c>
      <c r="E156" s="18" t="n"/>
      <c r="G156" s="18" t="n"/>
      <c r="I156" s="18" t="inlineStr">
        <is>
          <t>Yes</t>
        </is>
      </c>
      <c r="K156" s="18" t="n"/>
      <c r="L156" s="18" t="n"/>
      <c r="M156" s="18" t="n"/>
      <c r="N156" s="21" t="n"/>
      <c r="O156" s="21" t="n"/>
      <c r="P156" s="18" t="inlineStr">
        <is>
          <t>USG</t>
        </is>
      </c>
      <c r="Q156" s="18" t="inlineStr">
        <is>
          <t>Scan Findings (USG)</t>
        </is>
      </c>
      <c r="R156" s="9" t="inlineStr">
        <is>
          <t>Normal</t>
        </is>
      </c>
      <c r="S156" s="10" t="inlineStr">
        <is>
          <t>Any positive finding</t>
        </is>
      </c>
      <c r="T156" s="11" t="inlineStr">
        <is>
          <t>Significant finding</t>
        </is>
      </c>
      <c r="U156" s="12" t="inlineStr">
        <is>
          <t>Severe finding</t>
        </is>
      </c>
      <c r="V156" s="16" t="inlineStr">
        <is>
          <t>No</t>
        </is>
      </c>
      <c r="W156" s="16" t="inlineStr">
        <is>
          <t>No</t>
        </is>
      </c>
      <c r="X156" s="25" t="inlineStr">
        <is>
          <t>U</t>
        </is>
      </c>
    </row>
    <row r="157" ht="16" customHeight="1">
      <c r="A157" s="18" t="n">
        <v>156</v>
      </c>
      <c r="B157" s="18" t="inlineStr">
        <is>
          <t>Iliac vessels</t>
        </is>
      </c>
      <c r="C157" t="inlineStr">
        <is>
          <t>USG: Iliac Vessels</t>
        </is>
      </c>
      <c r="D157" s="18" t="inlineStr">
        <is>
          <t>Normal</t>
        </is>
      </c>
      <c r="E157" s="18" t="n"/>
      <c r="G157" s="18" t="n"/>
      <c r="I157" s="18" t="n"/>
      <c r="K157" s="18" t="n"/>
      <c r="L157" s="18" t="n"/>
      <c r="M157" s="18" t="inlineStr">
        <is>
          <t>Yes</t>
        </is>
      </c>
      <c r="N157" s="21" t="n"/>
      <c r="O157" s="21" t="n"/>
      <c r="P157" s="18" t="inlineStr">
        <is>
          <t>USG</t>
        </is>
      </c>
      <c r="Q157" s="18" t="inlineStr">
        <is>
          <t>Scan Findings (USG)</t>
        </is>
      </c>
      <c r="R157" s="9" t="inlineStr">
        <is>
          <t>Normal</t>
        </is>
      </c>
      <c r="S157" s="10" t="inlineStr">
        <is>
          <t>Any positive finding</t>
        </is>
      </c>
      <c r="T157" s="11" t="inlineStr">
        <is>
          <t>Significant finding</t>
        </is>
      </c>
      <c r="U157" s="12" t="inlineStr">
        <is>
          <t>Severe finding</t>
        </is>
      </c>
      <c r="V157" s="16" t="inlineStr">
        <is>
          <t>No</t>
        </is>
      </c>
      <c r="W157" s="16" t="inlineStr">
        <is>
          <t>No</t>
        </is>
      </c>
      <c r="X157" s="25" t="inlineStr">
        <is>
          <t>U</t>
        </is>
      </c>
    </row>
    <row r="158" ht="16" customHeight="1">
      <c r="A158" s="18" t="n">
        <v>157</v>
      </c>
      <c r="B158" s="18" t="inlineStr">
        <is>
          <t>Aorta and branches</t>
        </is>
      </c>
      <c r="C158" t="inlineStr">
        <is>
          <t>USG: Aorta &amp; Branches</t>
        </is>
      </c>
      <c r="D158" s="18" t="inlineStr">
        <is>
          <t>Normal</t>
        </is>
      </c>
      <c r="E158" s="18" t="n"/>
      <c r="G158" s="18" t="n"/>
      <c r="I158" s="18" t="n"/>
      <c r="K158" s="18" t="n"/>
      <c r="L158" s="18" t="n"/>
      <c r="M158" s="18" t="inlineStr">
        <is>
          <t>Yes</t>
        </is>
      </c>
      <c r="N158" s="21" t="n"/>
      <c r="O158" s="21" t="n"/>
      <c r="P158" s="18" t="inlineStr">
        <is>
          <t>USG</t>
        </is>
      </c>
      <c r="Q158" s="18" t="inlineStr">
        <is>
          <t>Scan Findings (USG)</t>
        </is>
      </c>
      <c r="R158" s="9" t="inlineStr">
        <is>
          <t>Normal</t>
        </is>
      </c>
      <c r="S158" s="10" t="inlineStr">
        <is>
          <t>Any positive finding</t>
        </is>
      </c>
      <c r="T158" s="11" t="inlineStr">
        <is>
          <t>Significant finding</t>
        </is>
      </c>
      <c r="U158" s="12" t="inlineStr">
        <is>
          <t>Severe finding</t>
        </is>
      </c>
      <c r="V158" s="16" t="inlineStr">
        <is>
          <t>No</t>
        </is>
      </c>
      <c r="W158" s="16" t="inlineStr">
        <is>
          <t>No</t>
        </is>
      </c>
      <c r="X158" s="25" t="inlineStr">
        <is>
          <t>U</t>
        </is>
      </c>
    </row>
    <row r="159" ht="16" customHeight="1">
      <c r="A159" s="18" t="n">
        <v>158</v>
      </c>
      <c r="B159" s="18" t="inlineStr">
        <is>
          <t>Superior venacava</t>
        </is>
      </c>
      <c r="C159" t="inlineStr">
        <is>
          <t>USG: Superior Vena Cava</t>
        </is>
      </c>
      <c r="D159" s="18" t="inlineStr">
        <is>
          <t>Normal</t>
        </is>
      </c>
      <c r="E159" s="18" t="n"/>
      <c r="G159" s="18" t="n"/>
      <c r="I159" s="18" t="n"/>
      <c r="K159" s="18" t="n"/>
      <c r="L159" s="18" t="n"/>
      <c r="M159" s="18" t="inlineStr">
        <is>
          <t>Yes</t>
        </is>
      </c>
      <c r="N159" s="21" t="n"/>
      <c r="O159" s="21" t="n"/>
      <c r="P159" s="18" t="inlineStr">
        <is>
          <t>USG</t>
        </is>
      </c>
      <c r="Q159" s="18" t="inlineStr">
        <is>
          <t>Scan Findings (USG)</t>
        </is>
      </c>
      <c r="R159" s="9" t="inlineStr">
        <is>
          <t>Normal</t>
        </is>
      </c>
      <c r="S159" s="10" t="inlineStr">
        <is>
          <t>Any positive finding</t>
        </is>
      </c>
      <c r="T159" s="11" t="inlineStr">
        <is>
          <t>Significant finding</t>
        </is>
      </c>
      <c r="U159" s="12" t="inlineStr">
        <is>
          <t>Severe finding</t>
        </is>
      </c>
      <c r="V159" s="16" t="inlineStr">
        <is>
          <t>No</t>
        </is>
      </c>
      <c r="W159" s="16" t="inlineStr">
        <is>
          <t>No</t>
        </is>
      </c>
      <c r="X159" s="25" t="inlineStr">
        <is>
          <t>U</t>
        </is>
      </c>
    </row>
    <row r="160" ht="16" customHeight="1">
      <c r="A160" s="18" t="n">
        <v>159</v>
      </c>
      <c r="B160" s="18" t="inlineStr">
        <is>
          <t>Pericardium</t>
        </is>
      </c>
      <c r="C160" t="inlineStr">
        <is>
          <t>USG: Pericardium</t>
        </is>
      </c>
      <c r="D160" s="18" t="inlineStr">
        <is>
          <t>Normal</t>
        </is>
      </c>
      <c r="E160" s="18" t="inlineStr">
        <is>
          <t>Yes</t>
        </is>
      </c>
      <c r="G160" s="18" t="n"/>
      <c r="I160" s="18" t="n"/>
      <c r="K160" s="18" t="n"/>
      <c r="L160" s="18" t="n"/>
      <c r="M160" s="18" t="n"/>
      <c r="N160" s="21" t="n"/>
      <c r="O160" s="21" t="n"/>
      <c r="P160" s="18" t="inlineStr">
        <is>
          <t>USG</t>
        </is>
      </c>
      <c r="Q160" s="18" t="inlineStr">
        <is>
          <t>Scan Findings (USG)</t>
        </is>
      </c>
      <c r="R160" s="9" t="inlineStr">
        <is>
          <t>Normal</t>
        </is>
      </c>
      <c r="S160" s="10" t="inlineStr">
        <is>
          <t>Any positive finding</t>
        </is>
      </c>
      <c r="T160" s="11" t="inlineStr">
        <is>
          <t>Significant finding</t>
        </is>
      </c>
      <c r="U160" s="12" t="inlineStr">
        <is>
          <t>Severe finding</t>
        </is>
      </c>
      <c r="V160" s="16" t="inlineStr">
        <is>
          <t>No</t>
        </is>
      </c>
      <c r="W160" s="16" t="inlineStr">
        <is>
          <t>No</t>
        </is>
      </c>
      <c r="X160" s="25" t="inlineStr">
        <is>
          <t>U</t>
        </is>
      </c>
    </row>
    <row r="161" ht="16" customHeight="1">
      <c r="A161" s="18" t="n">
        <v>160</v>
      </c>
      <c r="B161" s="18" t="inlineStr">
        <is>
          <t>IVC and tributaries</t>
        </is>
      </c>
      <c r="C161" t="inlineStr">
        <is>
          <t>USG: IVC &amp; Tributaries</t>
        </is>
      </c>
      <c r="D161" s="18" t="inlineStr">
        <is>
          <t>Normal</t>
        </is>
      </c>
      <c r="E161" s="18" t="n"/>
      <c r="G161" s="18" t="n"/>
      <c r="I161" s="18" t="n"/>
      <c r="K161" s="18" t="n"/>
      <c r="L161" s="18" t="n"/>
      <c r="M161" s="18" t="inlineStr">
        <is>
          <t>Yes</t>
        </is>
      </c>
      <c r="N161" s="21" t="n"/>
      <c r="O161" s="21" t="n"/>
      <c r="P161" s="18" t="inlineStr">
        <is>
          <t>USG</t>
        </is>
      </c>
      <c r="Q161" s="18" t="inlineStr">
        <is>
          <t>Scan Findings (USG)</t>
        </is>
      </c>
      <c r="R161" s="9" t="inlineStr">
        <is>
          <t>Normal</t>
        </is>
      </c>
      <c r="S161" s="10" t="inlineStr">
        <is>
          <t>Any positive finding</t>
        </is>
      </c>
      <c r="T161" s="11" t="inlineStr">
        <is>
          <t>Significant finding</t>
        </is>
      </c>
      <c r="U161" s="12" t="inlineStr">
        <is>
          <t>Severe finding</t>
        </is>
      </c>
      <c r="V161" s="16" t="inlineStr">
        <is>
          <t>No</t>
        </is>
      </c>
      <c r="W161" s="16" t="inlineStr">
        <is>
          <t>No</t>
        </is>
      </c>
      <c r="X161" s="25" t="inlineStr">
        <is>
          <t>U</t>
        </is>
      </c>
    </row>
    <row r="162" ht="16" customHeight="1">
      <c r="A162" s="18" t="n">
        <v>161</v>
      </c>
      <c r="B162" s="18" t="inlineStr">
        <is>
          <t>Other major vessels</t>
        </is>
      </c>
      <c r="C162" t="inlineStr">
        <is>
          <t>USG: Major Vessels</t>
        </is>
      </c>
      <c r="D162" s="18" t="inlineStr">
        <is>
          <t>Normal</t>
        </is>
      </c>
      <c r="E162" s="18" t="n"/>
      <c r="G162" s="18" t="n"/>
      <c r="I162" s="18" t="n"/>
      <c r="K162" s="18" t="n"/>
      <c r="L162" s="18" t="n"/>
      <c r="M162" s="18" t="inlineStr">
        <is>
          <t>Yes</t>
        </is>
      </c>
      <c r="N162" s="21" t="n"/>
      <c r="O162" s="21" t="n"/>
      <c r="P162" s="18" t="inlineStr">
        <is>
          <t>USG</t>
        </is>
      </c>
      <c r="Q162" s="18" t="inlineStr">
        <is>
          <t>Scan Findings (USG)</t>
        </is>
      </c>
      <c r="R162" s="9" t="n"/>
      <c r="S162" s="10" t="inlineStr">
        <is>
          <t>—</t>
        </is>
      </c>
      <c r="T162" s="11" t="inlineStr">
        <is>
          <t>—</t>
        </is>
      </c>
      <c r="U162" s="12" t="inlineStr">
        <is>
          <t>—</t>
        </is>
      </c>
      <c r="V162" s="16" t="inlineStr">
        <is>
          <t>No</t>
        </is>
      </c>
      <c r="W162" s="16" t="inlineStr">
        <is>
          <t>No</t>
        </is>
      </c>
      <c r="X162" s="25" t="inlineStr">
        <is>
          <t>U</t>
        </is>
      </c>
    </row>
    <row r="163" ht="16" customHeight="1">
      <c r="A163" s="18" t="n">
        <v>162</v>
      </c>
      <c r="B163" s="18" t="inlineStr">
        <is>
          <t>Cardia</t>
        </is>
      </c>
      <c r="C163" t="inlineStr">
        <is>
          <t>USG: Cardia</t>
        </is>
      </c>
      <c r="D163" s="18" t="inlineStr">
        <is>
          <t>Normal</t>
        </is>
      </c>
      <c r="E163" s="18" t="n"/>
      <c r="G163" s="18" t="inlineStr">
        <is>
          <t>Yes</t>
        </is>
      </c>
      <c r="I163" s="18" t="n"/>
      <c r="K163" s="18" t="n"/>
      <c r="L163" s="18" t="n"/>
      <c r="M163" s="18" t="n"/>
      <c r="N163" s="21" t="n"/>
      <c r="O163" s="21" t="n"/>
      <c r="P163" s="18" t="inlineStr">
        <is>
          <t>USG</t>
        </is>
      </c>
      <c r="Q163" s="18" t="inlineStr">
        <is>
          <t>Scan Findings (USG)</t>
        </is>
      </c>
      <c r="R163" s="9" t="inlineStr">
        <is>
          <t>Normal</t>
        </is>
      </c>
      <c r="S163" s="10" t="inlineStr">
        <is>
          <t>Any positive finding</t>
        </is>
      </c>
      <c r="T163" s="11" t="inlineStr">
        <is>
          <t>Significant finding</t>
        </is>
      </c>
      <c r="U163" s="12" t="inlineStr">
        <is>
          <t>Severe finding</t>
        </is>
      </c>
      <c r="V163" s="16" t="inlineStr">
        <is>
          <t>No</t>
        </is>
      </c>
      <c r="W163" s="16" t="inlineStr">
        <is>
          <t>No</t>
        </is>
      </c>
      <c r="X163" s="25" t="inlineStr">
        <is>
          <t>U</t>
        </is>
      </c>
    </row>
    <row r="164" ht="16" customHeight="1">
      <c r="A164" s="18" t="n">
        <v>163</v>
      </c>
      <c r="B164" s="18" t="inlineStr">
        <is>
          <t>Neck Vessels</t>
        </is>
      </c>
      <c r="C164" t="inlineStr">
        <is>
          <t>USG: Neck Vessels</t>
        </is>
      </c>
      <c r="D164" s="18" t="inlineStr">
        <is>
          <t>Normal</t>
        </is>
      </c>
      <c r="E164" s="18" t="n"/>
      <c r="G164" s="18" t="n"/>
      <c r="I164" s="18" t="n"/>
      <c r="K164" s="18" t="n"/>
      <c r="L164" s="18" t="n"/>
      <c r="M164" s="18" t="inlineStr">
        <is>
          <t>Yes</t>
        </is>
      </c>
      <c r="N164" s="21" t="n"/>
      <c r="O164" s="21" t="n"/>
      <c r="P164" s="18" t="inlineStr">
        <is>
          <t>USG</t>
        </is>
      </c>
      <c r="Q164" s="18" t="inlineStr">
        <is>
          <t>Scan Findings (USG)</t>
        </is>
      </c>
      <c r="R164" s="9" t="inlineStr">
        <is>
          <t>Normal</t>
        </is>
      </c>
      <c r="S164" s="10" t="inlineStr">
        <is>
          <t>Any positive finding</t>
        </is>
      </c>
      <c r="T164" s="11" t="inlineStr">
        <is>
          <t>Significant finding</t>
        </is>
      </c>
      <c r="U164" s="12" t="inlineStr">
        <is>
          <t>Severe finding</t>
        </is>
      </c>
      <c r="V164" s="16" t="inlineStr">
        <is>
          <t>No</t>
        </is>
      </c>
      <c r="W164" s="16" t="inlineStr">
        <is>
          <t>No</t>
        </is>
      </c>
      <c r="X164" s="25" t="inlineStr">
        <is>
          <t>U</t>
        </is>
      </c>
    </row>
    <row r="165" ht="16" customHeight="1">
      <c r="A165" s="18" t="n">
        <v>164</v>
      </c>
      <c r="B165" s="18" t="inlineStr">
        <is>
          <t>Mandible</t>
        </is>
      </c>
      <c r="C165" t="inlineStr">
        <is>
          <t>USG: Mandible</t>
        </is>
      </c>
      <c r="D165" s="18" t="inlineStr">
        <is>
          <t>Normal</t>
        </is>
      </c>
      <c r="E165" s="18" t="n"/>
      <c r="G165" s="18" t="n"/>
      <c r="I165" s="18" t="n"/>
      <c r="K165" s="18" t="inlineStr">
        <is>
          <t>Yes</t>
        </is>
      </c>
      <c r="L165" s="18" t="n"/>
      <c r="M165" s="18" t="n"/>
      <c r="N165" s="21" t="n"/>
      <c r="O165" s="21" t="n"/>
      <c r="P165" s="18" t="inlineStr">
        <is>
          <t>USG</t>
        </is>
      </c>
      <c r="Q165" s="18" t="inlineStr">
        <is>
          <t>Scan Findings (USG)</t>
        </is>
      </c>
      <c r="R165" s="9" t="inlineStr">
        <is>
          <t>Normal</t>
        </is>
      </c>
      <c r="S165" s="10" t="inlineStr">
        <is>
          <t>Any positive finding</t>
        </is>
      </c>
      <c r="T165" s="11" t="inlineStr">
        <is>
          <t>Significant finding</t>
        </is>
      </c>
      <c r="U165" s="12" t="inlineStr">
        <is>
          <t>Severe finding</t>
        </is>
      </c>
      <c r="V165" s="16" t="inlineStr">
        <is>
          <t>No</t>
        </is>
      </c>
      <c r="W165" s="16" t="inlineStr">
        <is>
          <t>No</t>
        </is>
      </c>
      <c r="X165" s="25" t="inlineStr">
        <is>
          <t>U</t>
        </is>
      </c>
    </row>
    <row r="166" ht="16" customHeight="1">
      <c r="A166" s="18" t="n">
        <v>165</v>
      </c>
      <c r="B166" s="18" t="inlineStr">
        <is>
          <t>Maxilla</t>
        </is>
      </c>
      <c r="C166" t="inlineStr">
        <is>
          <t>USG: Maxilla</t>
        </is>
      </c>
      <c r="D166" s="18" t="inlineStr">
        <is>
          <t>Normal</t>
        </is>
      </c>
      <c r="E166" s="18" t="n"/>
      <c r="G166" s="18" t="n"/>
      <c r="I166" s="18" t="n"/>
      <c r="K166" s="18" t="inlineStr">
        <is>
          <t>Yes</t>
        </is>
      </c>
      <c r="L166" s="18" t="n"/>
      <c r="M166" s="18" t="n"/>
      <c r="N166" s="21" t="n"/>
      <c r="O166" s="21" t="n"/>
      <c r="P166" s="18" t="inlineStr">
        <is>
          <t>USG</t>
        </is>
      </c>
      <c r="Q166" s="18" t="inlineStr">
        <is>
          <t>Scan Findings (USG)</t>
        </is>
      </c>
      <c r="R166" s="9" t="inlineStr">
        <is>
          <t>Normal</t>
        </is>
      </c>
      <c r="S166" s="10" t="inlineStr">
        <is>
          <t>Any positive finding</t>
        </is>
      </c>
      <c r="T166" s="11" t="inlineStr">
        <is>
          <t>Significant finding</t>
        </is>
      </c>
      <c r="U166" s="12" t="inlineStr">
        <is>
          <t>Severe finding</t>
        </is>
      </c>
      <c r="V166" s="16" t="inlineStr">
        <is>
          <t>No</t>
        </is>
      </c>
      <c r="W166" s="16" t="inlineStr">
        <is>
          <t>No</t>
        </is>
      </c>
      <c r="X166" s="25" t="inlineStr">
        <is>
          <t>U</t>
        </is>
      </c>
    </row>
    <row r="167" ht="16" customHeight="1">
      <c r="A167" s="18" t="n">
        <v>166</v>
      </c>
      <c r="B167" s="18" t="inlineStr">
        <is>
          <t>Adrenals</t>
        </is>
      </c>
      <c r="C167" t="inlineStr">
        <is>
          <t>USG: Adrenal Glands</t>
        </is>
      </c>
      <c r="D167" s="18" t="inlineStr">
        <is>
          <t>Normal</t>
        </is>
      </c>
      <c r="E167" s="18" t="n"/>
      <c r="F167" t="inlineStr">
        <is>
          <t>Yes</t>
        </is>
      </c>
      <c r="G167" s="18" t="n"/>
      <c r="I167" s="18" t="n"/>
      <c r="K167" s="18" t="n"/>
      <c r="L167" s="18" t="n"/>
      <c r="M167" s="18" t="n"/>
      <c r="N167" s="21" t="n"/>
      <c r="O167" s="21" t="n"/>
      <c r="P167" s="18" t="inlineStr">
        <is>
          <t>USG</t>
        </is>
      </c>
      <c r="Q167" s="18" t="inlineStr">
        <is>
          <t>Scan Findings (USG)</t>
        </is>
      </c>
      <c r="R167" s="9" t="inlineStr">
        <is>
          <t>Normal</t>
        </is>
      </c>
      <c r="S167" s="10" t="inlineStr">
        <is>
          <t>Any positive finding</t>
        </is>
      </c>
      <c r="T167" s="11" t="inlineStr">
        <is>
          <t>Significant finding</t>
        </is>
      </c>
      <c r="U167" s="12" t="inlineStr">
        <is>
          <t>Severe finding</t>
        </is>
      </c>
      <c r="V167" s="16" t="inlineStr">
        <is>
          <t>No</t>
        </is>
      </c>
      <c r="W167" s="16" t="inlineStr">
        <is>
          <t>No</t>
        </is>
      </c>
      <c r="X167" s="25" t="inlineStr">
        <is>
          <t>U</t>
        </is>
      </c>
    </row>
    <row r="168" ht="16" customHeight="1">
      <c r="A168" s="18" t="n">
        <v>167</v>
      </c>
      <c r="B168" s="18" t="inlineStr">
        <is>
          <t>Thyroid</t>
        </is>
      </c>
      <c r="C168" t="inlineStr">
        <is>
          <t>USG: Thyroid Gland</t>
        </is>
      </c>
      <c r="D168" s="18" t="inlineStr">
        <is>
          <t>Normal</t>
        </is>
      </c>
      <c r="E168" s="18" t="n"/>
      <c r="F168" t="inlineStr">
        <is>
          <t>Yes</t>
        </is>
      </c>
      <c r="G168" s="18" t="n"/>
      <c r="I168" s="18" t="n"/>
      <c r="K168" s="18" t="n"/>
      <c r="L168" s="18" t="n"/>
      <c r="M168" s="18" t="n"/>
      <c r="N168" s="21" t="n"/>
      <c r="O168" s="21" t="n"/>
      <c r="P168" s="18" t="inlineStr">
        <is>
          <t>USG</t>
        </is>
      </c>
      <c r="Q168" s="18" t="inlineStr">
        <is>
          <t>Scan Findings (USG)</t>
        </is>
      </c>
      <c r="R168" s="9" t="inlineStr">
        <is>
          <t>Normal</t>
        </is>
      </c>
      <c r="S168" s="10" t="inlineStr">
        <is>
          <t>Any positive finding</t>
        </is>
      </c>
      <c r="T168" s="11" t="inlineStr">
        <is>
          <t>Significant finding</t>
        </is>
      </c>
      <c r="U168" s="12" t="inlineStr">
        <is>
          <t>Severe finding</t>
        </is>
      </c>
      <c r="V168" s="16" t="inlineStr">
        <is>
          <t>No</t>
        </is>
      </c>
      <c r="W168" s="16" t="inlineStr">
        <is>
          <t>No</t>
        </is>
      </c>
      <c r="X168" s="25" t="inlineStr">
        <is>
          <t>U</t>
        </is>
      </c>
    </row>
    <row r="169" ht="16" customHeight="1">
      <c r="A169" s="18" t="n">
        <v>168</v>
      </c>
      <c r="B169" s="18" t="inlineStr">
        <is>
          <t>Pulmonary Fibrosis</t>
        </is>
      </c>
      <c r="C169" t="inlineStr">
        <is>
          <t>Chest X-ray: Lung Scarring</t>
        </is>
      </c>
      <c r="D169" s="18" t="inlineStr">
        <is>
          <t>Normal</t>
        </is>
      </c>
      <c r="E169" s="18" t="n"/>
      <c r="G169" s="18" t="n"/>
      <c r="I169" s="18" t="n"/>
      <c r="K169" s="18" t="n"/>
      <c r="L169" s="18" t="inlineStr">
        <is>
          <t>Yes</t>
        </is>
      </c>
      <c r="M169" s="18" t="n"/>
      <c r="N169" s="21" t="n"/>
      <c r="O169" s="21" t="n"/>
      <c r="P169" s="18" t="inlineStr">
        <is>
          <t>Chest X-Ray</t>
        </is>
      </c>
      <c r="Q169" s="18" t="inlineStr">
        <is>
          <t>Chest X-Ray Report</t>
        </is>
      </c>
      <c r="R169" s="9" t="inlineStr">
        <is>
          <t>Absent</t>
        </is>
      </c>
      <c r="S169" s="10" t="inlineStr">
        <is>
          <t>Any positive finding</t>
        </is>
      </c>
      <c r="T169" s="11" t="inlineStr">
        <is>
          <t>Significant finding</t>
        </is>
      </c>
      <c r="U169" s="12" t="inlineStr">
        <is>
          <t>Severe finding</t>
        </is>
      </c>
      <c r="V169" s="16" t="inlineStr">
        <is>
          <t>No</t>
        </is>
      </c>
      <c r="W169" s="16" t="inlineStr">
        <is>
          <t>No</t>
        </is>
      </c>
      <c r="X169" s="25" t="inlineStr">
        <is>
          <t>U</t>
        </is>
      </c>
    </row>
    <row r="170" ht="16" customHeight="1">
      <c r="A170" s="18" t="n">
        <v>169</v>
      </c>
      <c r="B170" s="18" t="inlineStr">
        <is>
          <t>COPD / Emphysema</t>
        </is>
      </c>
      <c r="C170" t="inlineStr">
        <is>
          <t>Chest X-ray: COPD / Emphysema</t>
        </is>
      </c>
      <c r="D170" s="18" t="inlineStr">
        <is>
          <t>Normal</t>
        </is>
      </c>
      <c r="E170" s="18" t="n"/>
      <c r="G170" s="18" t="n"/>
      <c r="I170" s="18" t="n"/>
      <c r="K170" s="18" t="n"/>
      <c r="L170" s="18" t="inlineStr">
        <is>
          <t>Yes</t>
        </is>
      </c>
      <c r="M170" s="18" t="n"/>
      <c r="N170" s="21" t="n"/>
      <c r="O170" s="21" t="n"/>
      <c r="P170" s="18" t="inlineStr">
        <is>
          <t>Chest X-Ray</t>
        </is>
      </c>
      <c r="Q170" s="18" t="inlineStr">
        <is>
          <t>Chest X-Ray Report</t>
        </is>
      </c>
      <c r="R170" s="9" t="inlineStr">
        <is>
          <t>Absent</t>
        </is>
      </c>
      <c r="S170" s="10" t="inlineStr">
        <is>
          <t>Any positive finding</t>
        </is>
      </c>
      <c r="T170" s="11" t="inlineStr">
        <is>
          <t>Significant finding</t>
        </is>
      </c>
      <c r="U170" s="12" t="inlineStr">
        <is>
          <t>Severe finding</t>
        </is>
      </c>
      <c r="V170" s="16" t="inlineStr">
        <is>
          <t>No</t>
        </is>
      </c>
      <c r="W170" s="16" t="inlineStr">
        <is>
          <t>No</t>
        </is>
      </c>
      <c r="X170" s="25" t="inlineStr">
        <is>
          <t>U</t>
        </is>
      </c>
    </row>
    <row r="171" ht="16" customHeight="1">
      <c r="A171" s="18" t="n">
        <v>170</v>
      </c>
      <c r="B171" s="18" t="inlineStr">
        <is>
          <t>Lung Vasculature</t>
        </is>
      </c>
      <c r="C171" t="inlineStr">
        <is>
          <t>Chest X-ray: Pulmonary Vessels</t>
        </is>
      </c>
      <c r="D171" s="18" t="inlineStr">
        <is>
          <t>Normal</t>
        </is>
      </c>
      <c r="E171" s="18" t="n"/>
      <c r="G171" s="18" t="n"/>
      <c r="I171" s="18" t="n"/>
      <c r="K171" s="18" t="n"/>
      <c r="L171" s="18" t="inlineStr">
        <is>
          <t>Yes</t>
        </is>
      </c>
      <c r="M171" s="18" t="n"/>
      <c r="N171" s="21" t="n"/>
      <c r="O171" s="21" t="n"/>
      <c r="P171" s="18" t="inlineStr">
        <is>
          <t>Chest X-Ray</t>
        </is>
      </c>
      <c r="Q171" s="18" t="inlineStr">
        <is>
          <t>Chest X-Ray Report</t>
        </is>
      </c>
      <c r="R171" s="9" t="inlineStr">
        <is>
          <t>Normal</t>
        </is>
      </c>
      <c r="S171" s="10" t="inlineStr">
        <is>
          <t>Any positive finding</t>
        </is>
      </c>
      <c r="T171" s="11" t="inlineStr">
        <is>
          <t>Significant finding</t>
        </is>
      </c>
      <c r="U171" s="12" t="inlineStr">
        <is>
          <t>Severe finding</t>
        </is>
      </c>
      <c r="V171" s="16" t="inlineStr">
        <is>
          <t>No</t>
        </is>
      </c>
      <c r="W171" s="16" t="inlineStr">
        <is>
          <t>No</t>
        </is>
      </c>
      <c r="X171" s="25" t="inlineStr">
        <is>
          <t>U</t>
        </is>
      </c>
    </row>
    <row r="172" ht="16" customHeight="1">
      <c r="A172" s="18" t="n">
        <v>171</v>
      </c>
      <c r="B172" s="18" t="inlineStr">
        <is>
          <t>Airway Condition</t>
        </is>
      </c>
      <c r="C172" t="inlineStr">
        <is>
          <t>Chest X-ray: Airway Status</t>
        </is>
      </c>
      <c r="D172" s="18" t="inlineStr">
        <is>
          <t>Normal</t>
        </is>
      </c>
      <c r="E172" s="18" t="n"/>
      <c r="G172" s="18" t="n"/>
      <c r="I172" s="18" t="n"/>
      <c r="K172" s="18" t="n"/>
      <c r="L172" s="18" t="inlineStr">
        <is>
          <t>Yes</t>
        </is>
      </c>
      <c r="M172" s="18" t="n"/>
      <c r="N172" s="21" t="n"/>
      <c r="O172" s="21" t="n"/>
      <c r="P172" s="18" t="inlineStr">
        <is>
          <t>Chest X-Ray</t>
        </is>
      </c>
      <c r="Q172" s="18" t="inlineStr">
        <is>
          <t>Chest X-Ray Report</t>
        </is>
      </c>
      <c r="R172" s="9" t="inlineStr">
        <is>
          <t>Normal</t>
        </is>
      </c>
      <c r="S172" s="10" t="inlineStr">
        <is>
          <t>Any positive finding</t>
        </is>
      </c>
      <c r="T172" s="11" t="inlineStr">
        <is>
          <t>Significant finding</t>
        </is>
      </c>
      <c r="U172" s="12" t="inlineStr">
        <is>
          <t>Severe finding</t>
        </is>
      </c>
      <c r="V172" s="16" t="inlineStr">
        <is>
          <t>No</t>
        </is>
      </c>
      <c r="W172" s="16" t="inlineStr">
        <is>
          <t>No</t>
        </is>
      </c>
      <c r="X172" s="25" t="inlineStr">
        <is>
          <t>U</t>
        </is>
      </c>
    </row>
    <row r="173" ht="16" customHeight="1">
      <c r="A173" s="18" t="n">
        <v>172</v>
      </c>
      <c r="B173" s="18" t="inlineStr">
        <is>
          <t>Lung Volume</t>
        </is>
      </c>
      <c r="C173" t="inlineStr">
        <is>
          <t>Chest X-ray: Lung Volume</t>
        </is>
      </c>
      <c r="D173" s="18" t="inlineStr">
        <is>
          <t>Normal</t>
        </is>
      </c>
      <c r="E173" s="18" t="n"/>
      <c r="G173" s="18" t="n"/>
      <c r="I173" s="18" t="n"/>
      <c r="K173" s="18" t="n"/>
      <c r="L173" s="18" t="inlineStr">
        <is>
          <t>Yes</t>
        </is>
      </c>
      <c r="M173" s="18" t="n"/>
      <c r="N173" s="21" t="n"/>
      <c r="O173" s="21" t="n"/>
      <c r="P173" s="18" t="inlineStr">
        <is>
          <t>Chest X-Ray</t>
        </is>
      </c>
      <c r="Q173" s="18" t="inlineStr">
        <is>
          <t>Chest X-Ray Report</t>
        </is>
      </c>
      <c r="R173" s="9" t="inlineStr">
        <is>
          <t>Normal</t>
        </is>
      </c>
      <c r="S173" s="10" t="inlineStr">
        <is>
          <t>Any positive finding</t>
        </is>
      </c>
      <c r="T173" s="11" t="inlineStr">
        <is>
          <t>Significant finding</t>
        </is>
      </c>
      <c r="U173" s="12" t="inlineStr">
        <is>
          <t>Severe finding</t>
        </is>
      </c>
      <c r="V173" s="16" t="inlineStr">
        <is>
          <t>No</t>
        </is>
      </c>
      <c r="W173" s="16" t="inlineStr">
        <is>
          <t>No</t>
        </is>
      </c>
      <c r="X173" s="25" t="inlineStr">
        <is>
          <t>U</t>
        </is>
      </c>
    </row>
    <row r="174" ht="16" customHeight="1">
      <c r="A174" s="18" t="n">
        <v>173</v>
      </c>
      <c r="B174" s="18" t="inlineStr">
        <is>
          <t>Pneumonia / Infection</t>
        </is>
      </c>
      <c r="C174" t="inlineStr">
        <is>
          <t>Chest X-ray: Pneumonia / Infection</t>
        </is>
      </c>
      <c r="D174" s="18" t="inlineStr">
        <is>
          <t>Normal</t>
        </is>
      </c>
      <c r="E174" s="18" t="n"/>
      <c r="G174" s="18" t="n"/>
      <c r="I174" s="18" t="n"/>
      <c r="K174" s="18" t="n"/>
      <c r="L174" s="18" t="inlineStr">
        <is>
          <t>Yes</t>
        </is>
      </c>
      <c r="M174" s="18" t="n"/>
      <c r="N174" s="21" t="n"/>
      <c r="O174" s="21" t="n"/>
      <c r="P174" s="18" t="inlineStr">
        <is>
          <t>Chest X-Ray</t>
        </is>
      </c>
      <c r="Q174" s="18" t="inlineStr">
        <is>
          <t>Chest X-Ray Report</t>
        </is>
      </c>
      <c r="R174" s="9" t="inlineStr">
        <is>
          <t>Absent</t>
        </is>
      </c>
      <c r="S174" s="10" t="inlineStr">
        <is>
          <t>Any positive finding</t>
        </is>
      </c>
      <c r="T174" s="11" t="inlineStr">
        <is>
          <t>Significant finding</t>
        </is>
      </c>
      <c r="U174" s="12" t="inlineStr">
        <is>
          <t>Severe finding</t>
        </is>
      </c>
      <c r="V174" s="16" t="inlineStr">
        <is>
          <t>No</t>
        </is>
      </c>
      <c r="W174" s="16" t="inlineStr">
        <is>
          <t>No</t>
        </is>
      </c>
      <c r="X174" s="25" t="inlineStr">
        <is>
          <t>U</t>
        </is>
      </c>
    </row>
    <row r="175" ht="16" customHeight="1">
      <c r="A175" s="18" t="n">
        <v>174</v>
      </c>
      <c r="B175" s="18" t="inlineStr">
        <is>
          <t>Mediastinum &amp; Lymph Nodes</t>
        </is>
      </c>
      <c r="C175" t="inlineStr">
        <is>
          <t>Chest X-ray: Mediastinum / Nodes</t>
        </is>
      </c>
      <c r="D175" s="18" t="inlineStr">
        <is>
          <t>Normal</t>
        </is>
      </c>
      <c r="E175" s="18" t="n"/>
      <c r="G175" s="18" t="n"/>
      <c r="I175" s="18" t="n"/>
      <c r="K175" s="18" t="n"/>
      <c r="L175" s="18" t="inlineStr">
        <is>
          <t>Yes</t>
        </is>
      </c>
      <c r="M175" s="18" t="n"/>
      <c r="N175" s="21" t="n"/>
      <c r="O175" s="21" t="n"/>
      <c r="P175" s="18" t="inlineStr">
        <is>
          <t>Chest X-Ray</t>
        </is>
      </c>
      <c r="Q175" s="18" t="inlineStr">
        <is>
          <t>Chest X-Ray Report</t>
        </is>
      </c>
      <c r="R175" s="9" t="inlineStr">
        <is>
          <t>Normal</t>
        </is>
      </c>
      <c r="S175" s="10" t="inlineStr">
        <is>
          <t>Any positive finding</t>
        </is>
      </c>
      <c r="T175" s="11" t="inlineStr">
        <is>
          <t>Significant finding</t>
        </is>
      </c>
      <c r="U175" s="12" t="inlineStr">
        <is>
          <t>Severe finding</t>
        </is>
      </c>
      <c r="V175" s="16" t="inlineStr">
        <is>
          <t>No</t>
        </is>
      </c>
      <c r="W175" s="16" t="inlineStr">
        <is>
          <t>No</t>
        </is>
      </c>
      <c r="X175" s="25" t="inlineStr">
        <is>
          <t>U</t>
        </is>
      </c>
    </row>
    <row r="176" ht="16" customHeight="1">
      <c r="A176" s="18" t="n">
        <v>175</v>
      </c>
      <c r="B176" s="18" t="inlineStr">
        <is>
          <t>Pleural Space</t>
        </is>
      </c>
      <c r="C176" t="inlineStr">
        <is>
          <t>Chest X-ray: Pleural Space</t>
        </is>
      </c>
      <c r="D176" s="18" t="inlineStr">
        <is>
          <t>Normal</t>
        </is>
      </c>
      <c r="E176" s="18" t="n"/>
      <c r="G176" s="18" t="n"/>
      <c r="I176" s="18" t="n"/>
      <c r="K176" s="18" t="n"/>
      <c r="L176" s="18" t="inlineStr">
        <is>
          <t>Yes</t>
        </is>
      </c>
      <c r="M176" s="18" t="n"/>
      <c r="N176" s="21" t="n"/>
      <c r="O176" s="21" t="n"/>
      <c r="P176" s="18" t="inlineStr">
        <is>
          <t>Chest X-Ray</t>
        </is>
      </c>
      <c r="Q176" s="18" t="inlineStr">
        <is>
          <t>Chest X-Ray Report</t>
        </is>
      </c>
      <c r="R176" s="9" t="inlineStr">
        <is>
          <t>Normal</t>
        </is>
      </c>
      <c r="S176" s="10" t="inlineStr">
        <is>
          <t>Any positive finding</t>
        </is>
      </c>
      <c r="T176" s="11" t="inlineStr">
        <is>
          <t>Significant finding</t>
        </is>
      </c>
      <c r="U176" s="12" t="inlineStr">
        <is>
          <t>Severe finding</t>
        </is>
      </c>
      <c r="V176" s="16" t="inlineStr">
        <is>
          <t>No</t>
        </is>
      </c>
      <c r="W176" s="16" t="inlineStr">
        <is>
          <t>No</t>
        </is>
      </c>
      <c r="X176" s="25" t="inlineStr">
        <is>
          <t>U</t>
        </is>
      </c>
    </row>
    <row r="177" ht="16" customHeight="1">
      <c r="A177" s="18" t="n">
        <v>176</v>
      </c>
      <c r="B177" s="18" t="inlineStr">
        <is>
          <t>Lung Nodules &amp; Masses</t>
        </is>
      </c>
      <c r="C177" t="inlineStr">
        <is>
          <t>Chest X-ray: Nodules / Masses</t>
        </is>
      </c>
      <c r="D177" s="18" t="inlineStr">
        <is>
          <t>Normal</t>
        </is>
      </c>
      <c r="E177" s="18" t="n"/>
      <c r="G177" s="18" t="n"/>
      <c r="I177" s="18" t="n"/>
      <c r="K177" s="18" t="n"/>
      <c r="L177" s="18" t="inlineStr">
        <is>
          <t>Yes</t>
        </is>
      </c>
      <c r="M177" s="18" t="n"/>
      <c r="N177" s="21" t="n"/>
      <c r="O177" s="21" t="n"/>
      <c r="P177" s="18" t="inlineStr">
        <is>
          <t>Chest X-Ray</t>
        </is>
      </c>
      <c r="Q177" s="18" t="inlineStr">
        <is>
          <t>Chest X-Ray Report</t>
        </is>
      </c>
      <c r="R177" s="9" t="n"/>
      <c r="S177" s="10" t="inlineStr">
        <is>
          <t>Any positive finding</t>
        </is>
      </c>
      <c r="T177" s="11" t="inlineStr">
        <is>
          <t>Significant finding</t>
        </is>
      </c>
      <c r="U177" s="12" t="inlineStr">
        <is>
          <t>Severe finding</t>
        </is>
      </c>
      <c r="V177" s="16" t="inlineStr">
        <is>
          <t>No</t>
        </is>
      </c>
      <c r="W177" s="16" t="inlineStr">
        <is>
          <t>No</t>
        </is>
      </c>
      <c r="X177" s="25" t="inlineStr">
        <is>
          <t>U</t>
        </is>
      </c>
    </row>
    <row r="178" ht="16" customHeight="1">
      <c r="A178" s="18" t="n">
        <v>177</v>
      </c>
      <c r="B178" s="18" t="inlineStr">
        <is>
          <t>Lung Parenchyma</t>
        </is>
      </c>
      <c r="C178" t="inlineStr">
        <is>
          <t>Chest X-ray: Lung Tissue</t>
        </is>
      </c>
      <c r="D178" s="18" t="inlineStr">
        <is>
          <t>Normal</t>
        </is>
      </c>
      <c r="E178" s="18" t="n"/>
      <c r="G178" s="18" t="n"/>
      <c r="I178" s="18" t="n"/>
      <c r="K178" s="18" t="n"/>
      <c r="L178" s="18" t="inlineStr">
        <is>
          <t>Yes</t>
        </is>
      </c>
      <c r="M178" s="18" t="n"/>
      <c r="N178" s="21" t="n"/>
      <c r="O178" s="21" t="n"/>
      <c r="P178" s="18" t="inlineStr">
        <is>
          <t>Chest X-Ray</t>
        </is>
      </c>
      <c r="Q178" s="18" t="inlineStr">
        <is>
          <t>Chest X-Ray Report</t>
        </is>
      </c>
      <c r="R178" s="9" t="inlineStr">
        <is>
          <t>Normal</t>
        </is>
      </c>
      <c r="S178" s="10" t="inlineStr">
        <is>
          <t>Any positive finding</t>
        </is>
      </c>
      <c r="T178" s="11" t="inlineStr">
        <is>
          <t>Significant finding</t>
        </is>
      </c>
      <c r="U178" s="12" t="inlineStr">
        <is>
          <t>Severe finding</t>
        </is>
      </c>
      <c r="V178" s="16" t="inlineStr">
        <is>
          <t>No</t>
        </is>
      </c>
      <c r="W178" s="16" t="inlineStr">
        <is>
          <t>No</t>
        </is>
      </c>
      <c r="X178" s="25" t="inlineStr">
        <is>
          <t>U</t>
        </is>
      </c>
    </row>
    <row r="179" ht="16" customHeight="1">
      <c r="A179" s="18" t="n">
        <v>178</v>
      </c>
      <c r="B179" s="18" t="inlineStr">
        <is>
          <t>Mediastinal Lymph Nodes</t>
        </is>
      </c>
      <c r="C179" t="inlineStr">
        <is>
          <t>Chest X-ray: Mediastinal Nodes</t>
        </is>
      </c>
      <c r="D179" s="18" t="inlineStr">
        <is>
          <t>Normal</t>
        </is>
      </c>
      <c r="E179" s="18" t="n"/>
      <c r="G179" s="18" t="n"/>
      <c r="I179" s="18" t="n"/>
      <c r="K179" s="18" t="n"/>
      <c r="L179" s="18" t="inlineStr">
        <is>
          <t>Yes</t>
        </is>
      </c>
      <c r="M179" s="18" t="n"/>
      <c r="N179" s="21" t="n"/>
      <c r="O179" s="21" t="n"/>
      <c r="P179" s="18" t="inlineStr">
        <is>
          <t>Chest X-Ray</t>
        </is>
      </c>
      <c r="Q179" s="18" t="inlineStr">
        <is>
          <t>Chest X-Ray Report</t>
        </is>
      </c>
      <c r="R179" s="9" t="inlineStr">
        <is>
          <t>Normal</t>
        </is>
      </c>
      <c r="S179" s="10" t="inlineStr">
        <is>
          <t>Any positive finding</t>
        </is>
      </c>
      <c r="T179" s="11" t="inlineStr">
        <is>
          <t>Significant finding</t>
        </is>
      </c>
      <c r="U179" s="12" t="inlineStr">
        <is>
          <t>Severe finding</t>
        </is>
      </c>
      <c r="V179" s="16" t="inlineStr">
        <is>
          <t>No</t>
        </is>
      </c>
      <c r="W179" s="16" t="inlineStr">
        <is>
          <t>No</t>
        </is>
      </c>
      <c r="X179" s="25" t="inlineStr">
        <is>
          <t>U</t>
        </is>
      </c>
    </row>
    <row r="180" ht="16" customHeight="1">
      <c r="A180" s="18" t="n">
        <v>179</v>
      </c>
      <c r="B180" s="18" t="inlineStr">
        <is>
          <t>Subglottis</t>
        </is>
      </c>
      <c r="C180" t="inlineStr">
        <is>
          <t>Chest X-ray: Subglottic Region</t>
        </is>
      </c>
      <c r="D180" s="18" t="inlineStr">
        <is>
          <t>Normal</t>
        </is>
      </c>
      <c r="E180" s="18" t="n"/>
      <c r="G180" s="18" t="n"/>
      <c r="I180" s="18" t="n"/>
      <c r="K180" s="18" t="n"/>
      <c r="L180" s="18" t="inlineStr">
        <is>
          <t>Yes</t>
        </is>
      </c>
      <c r="M180" s="18" t="n"/>
      <c r="N180" s="21" t="n"/>
      <c r="O180" s="21" t="n"/>
      <c r="P180" s="18" t="inlineStr">
        <is>
          <t>MRI</t>
        </is>
      </c>
      <c r="Q180" s="18" t="inlineStr">
        <is>
          <t>MRI Report</t>
        </is>
      </c>
      <c r="R180" s="9" t="inlineStr">
        <is>
          <t>Normal</t>
        </is>
      </c>
      <c r="S180" s="10" t="inlineStr">
        <is>
          <t>Any positive finding</t>
        </is>
      </c>
      <c r="T180" s="11" t="inlineStr">
        <is>
          <t>Significant finding</t>
        </is>
      </c>
      <c r="U180" s="12" t="inlineStr">
        <is>
          <t>Severe finding</t>
        </is>
      </c>
      <c r="V180" s="16" t="inlineStr">
        <is>
          <t>No</t>
        </is>
      </c>
      <c r="W180" s="16" t="inlineStr">
        <is>
          <t>No</t>
        </is>
      </c>
      <c r="X180" s="25" t="inlineStr">
        <is>
          <t>U</t>
        </is>
      </c>
    </row>
    <row r="181" ht="16" customHeight="1">
      <c r="A181" s="18" t="n">
        <v>180</v>
      </c>
      <c r="B181" s="18" t="inlineStr">
        <is>
          <t>Pleural cavities</t>
        </is>
      </c>
      <c r="C181" t="inlineStr">
        <is>
          <t>Chest X-ray: Pleural Cavities</t>
        </is>
      </c>
      <c r="D181" s="18" t="inlineStr">
        <is>
          <t>Normal</t>
        </is>
      </c>
      <c r="E181" s="18" t="n"/>
      <c r="G181" s="18" t="n"/>
      <c r="I181" s="18" t="n"/>
      <c r="K181" s="18" t="n"/>
      <c r="L181" s="18" t="inlineStr">
        <is>
          <t>Yes</t>
        </is>
      </c>
      <c r="M181" s="18" t="n"/>
      <c r="N181" s="21" t="n"/>
      <c r="O181" s="21" t="n"/>
      <c r="P181" s="18" t="inlineStr">
        <is>
          <t>Chest X-Ray</t>
        </is>
      </c>
      <c r="Q181" s="18" t="inlineStr">
        <is>
          <t>Chest X-Ray Report</t>
        </is>
      </c>
      <c r="R181" s="9" t="inlineStr">
        <is>
          <t>Normal</t>
        </is>
      </c>
      <c r="S181" s="10" t="inlineStr">
        <is>
          <t>Any positive finding</t>
        </is>
      </c>
      <c r="T181" s="11" t="inlineStr">
        <is>
          <t>Significant finding</t>
        </is>
      </c>
      <c r="U181" s="12" t="inlineStr">
        <is>
          <t>Severe finding</t>
        </is>
      </c>
      <c r="V181" s="16" t="inlineStr">
        <is>
          <t>No</t>
        </is>
      </c>
      <c r="W181" s="16" t="inlineStr">
        <is>
          <t>No</t>
        </is>
      </c>
      <c r="X181" s="25" t="inlineStr">
        <is>
          <t>U</t>
        </is>
      </c>
    </row>
    <row r="182" ht="16" customHeight="1">
      <c r="A182" s="18" t="n">
        <v>181</v>
      </c>
      <c r="B182" s="18" t="inlineStr">
        <is>
          <t>Glottis</t>
        </is>
      </c>
      <c r="C182" t="inlineStr">
        <is>
          <t>Chest X-ray: Glottic Region</t>
        </is>
      </c>
      <c r="D182" s="18" t="inlineStr">
        <is>
          <t>Normal</t>
        </is>
      </c>
      <c r="E182" s="18" t="n"/>
      <c r="G182" s="18" t="n"/>
      <c r="I182" s="18" t="n"/>
      <c r="K182" s="18" t="n"/>
      <c r="L182" s="18" t="inlineStr">
        <is>
          <t>Yes</t>
        </is>
      </c>
      <c r="M182" s="18" t="n"/>
      <c r="N182" s="21" t="n"/>
      <c r="O182" s="21" t="n"/>
      <c r="P182" s="18" t="inlineStr">
        <is>
          <t>MRI</t>
        </is>
      </c>
      <c r="Q182" s="18" t="inlineStr">
        <is>
          <t>MRI Report</t>
        </is>
      </c>
      <c r="R182" s="9" t="inlineStr">
        <is>
          <t>Normal</t>
        </is>
      </c>
      <c r="S182" s="10" t="inlineStr">
        <is>
          <t>Any positive finding</t>
        </is>
      </c>
      <c r="T182" s="11" t="inlineStr">
        <is>
          <t>Significant finding</t>
        </is>
      </c>
      <c r="U182" s="12" t="inlineStr">
        <is>
          <t>Severe finding</t>
        </is>
      </c>
      <c r="V182" s="16" t="inlineStr">
        <is>
          <t>No</t>
        </is>
      </c>
      <c r="W182" s="16" t="inlineStr">
        <is>
          <t>No</t>
        </is>
      </c>
      <c r="X182" s="25" t="inlineStr">
        <is>
          <t>U</t>
        </is>
      </c>
    </row>
    <row r="183" ht="16" customHeight="1">
      <c r="A183" s="18" t="n">
        <v>182</v>
      </c>
      <c r="B183" s="18" t="inlineStr">
        <is>
          <t>Supra-glottis</t>
        </is>
      </c>
      <c r="C183" t="inlineStr">
        <is>
          <t>Chest X-ray: Supraglottic Region</t>
        </is>
      </c>
      <c r="D183" s="18" t="inlineStr">
        <is>
          <t>Normal</t>
        </is>
      </c>
      <c r="E183" s="18" t="n"/>
      <c r="G183" s="18" t="n"/>
      <c r="I183" s="18" t="n"/>
      <c r="K183" s="18" t="n"/>
      <c r="L183" s="18" t="inlineStr">
        <is>
          <t>Yes</t>
        </is>
      </c>
      <c r="M183" s="18" t="n"/>
      <c r="N183" s="21" t="n"/>
      <c r="O183" s="21" t="n"/>
      <c r="P183" s="18" t="inlineStr">
        <is>
          <t>MRI</t>
        </is>
      </c>
      <c r="Q183" s="18" t="inlineStr">
        <is>
          <t>MRI Report</t>
        </is>
      </c>
      <c r="R183" s="9" t="inlineStr">
        <is>
          <t>Normal</t>
        </is>
      </c>
      <c r="S183" s="10" t="inlineStr">
        <is>
          <t>Any positive finding</t>
        </is>
      </c>
      <c r="T183" s="11" t="inlineStr">
        <is>
          <t>Significant finding</t>
        </is>
      </c>
      <c r="U183" s="12" t="inlineStr">
        <is>
          <t>Severe finding</t>
        </is>
      </c>
      <c r="V183" s="16" t="inlineStr">
        <is>
          <t>No</t>
        </is>
      </c>
      <c r="W183" s="16" t="inlineStr">
        <is>
          <t>No</t>
        </is>
      </c>
      <c r="X183" s="25" t="inlineStr">
        <is>
          <t>U</t>
        </is>
      </c>
    </row>
    <row r="184" ht="16" customHeight="1">
      <c r="A184" s="18" t="n">
        <v>183</v>
      </c>
      <c r="B184" s="18" t="inlineStr">
        <is>
          <t>Peri-rectal Fat</t>
        </is>
      </c>
      <c r="C184" t="inlineStr">
        <is>
          <t>USG: Peri-rectal Fat</t>
        </is>
      </c>
      <c r="D184" s="18" t="inlineStr">
        <is>
          <t>Normal</t>
        </is>
      </c>
      <c r="E184" s="18" t="n"/>
      <c r="G184" s="18" t="inlineStr">
        <is>
          <t>Yes</t>
        </is>
      </c>
      <c r="I184" s="18" t="n"/>
      <c r="K184" s="18" t="n"/>
      <c r="L184" s="18" t="n"/>
      <c r="M184" s="18" t="n"/>
      <c r="N184" s="21" t="n"/>
      <c r="O184" s="21" t="n"/>
      <c r="P184" s="18" t="inlineStr">
        <is>
          <t>USG</t>
        </is>
      </c>
      <c r="Q184" s="18" t="inlineStr">
        <is>
          <t>Scan Findings (USG)</t>
        </is>
      </c>
      <c r="R184" s="9" t="n"/>
      <c r="S184" s="10" t="inlineStr">
        <is>
          <t>—</t>
        </is>
      </c>
      <c r="T184" s="11" t="inlineStr">
        <is>
          <t>—</t>
        </is>
      </c>
      <c r="U184" s="12" t="inlineStr">
        <is>
          <t>—</t>
        </is>
      </c>
      <c r="V184" s="16" t="inlineStr">
        <is>
          <t>No</t>
        </is>
      </c>
      <c r="W184" s="16" t="inlineStr">
        <is>
          <t>No</t>
        </is>
      </c>
      <c r="X184" s="25" t="inlineStr">
        <is>
          <t>U</t>
        </is>
      </c>
    </row>
    <row r="185" ht="16" customHeight="1">
      <c r="A185" s="18" t="n">
        <v>184</v>
      </c>
      <c r="B185" s="18" t="inlineStr">
        <is>
          <t>Rectum &amp; Rectosigmoid</t>
        </is>
      </c>
      <c r="C185" t="inlineStr">
        <is>
          <t>USG: Rectum / Rectosigmoid</t>
        </is>
      </c>
      <c r="D185" s="18" t="inlineStr">
        <is>
          <t>Normal</t>
        </is>
      </c>
      <c r="E185" s="18" t="n"/>
      <c r="G185" s="18" t="inlineStr">
        <is>
          <t>Yes</t>
        </is>
      </c>
      <c r="I185" s="18" t="n"/>
      <c r="K185" s="18" t="n"/>
      <c r="L185" s="18" t="n"/>
      <c r="M185" s="18" t="n"/>
      <c r="N185" s="21" t="n"/>
      <c r="O185" s="21" t="n"/>
      <c r="P185" s="18" t="inlineStr">
        <is>
          <t>USG</t>
        </is>
      </c>
      <c r="Q185" s="18" t="inlineStr">
        <is>
          <t>Scan Findings (USG)</t>
        </is>
      </c>
      <c r="R185" s="9" t="inlineStr">
        <is>
          <t>Normal</t>
        </is>
      </c>
      <c r="S185" s="10" t="inlineStr">
        <is>
          <t>Any positive finding</t>
        </is>
      </c>
      <c r="T185" s="11" t="inlineStr">
        <is>
          <t>Significant finding</t>
        </is>
      </c>
      <c r="U185" s="12" t="inlineStr">
        <is>
          <t>Severe finding</t>
        </is>
      </c>
      <c r="V185" s="16" t="inlineStr">
        <is>
          <t>No</t>
        </is>
      </c>
      <c r="W185" s="16" t="inlineStr">
        <is>
          <t>No</t>
        </is>
      </c>
      <c r="X185" s="25" t="inlineStr">
        <is>
          <t>U</t>
        </is>
      </c>
    </row>
    <row r="186" ht="16" customHeight="1">
      <c r="A186" s="18" t="n">
        <v>185</v>
      </c>
      <c r="B186" s="18" t="inlineStr">
        <is>
          <t>Perisplenic Region</t>
        </is>
      </c>
      <c r="C186" t="inlineStr">
        <is>
          <t>USG: Perisplenic Region</t>
        </is>
      </c>
      <c r="D186" s="18" t="inlineStr">
        <is>
          <t>Normal</t>
        </is>
      </c>
      <c r="E186" s="18" t="n"/>
      <c r="G186" s="18" t="inlineStr">
        <is>
          <t>Yes</t>
        </is>
      </c>
      <c r="I186" s="18" t="n"/>
      <c r="K186" s="18" t="n"/>
      <c r="L186" s="18" t="n"/>
      <c r="M186" s="18" t="n"/>
      <c r="N186" s="21" t="n"/>
      <c r="O186" s="21" t="n"/>
      <c r="P186" s="18" t="inlineStr">
        <is>
          <t>USG</t>
        </is>
      </c>
      <c r="Q186" s="18" t="inlineStr">
        <is>
          <t>Scan Findings (USG)</t>
        </is>
      </c>
      <c r="R186" s="9" t="inlineStr">
        <is>
          <t>Normal</t>
        </is>
      </c>
      <c r="S186" s="10" t="inlineStr">
        <is>
          <t>Any positive finding</t>
        </is>
      </c>
      <c r="T186" s="11" t="inlineStr">
        <is>
          <t>Significant finding</t>
        </is>
      </c>
      <c r="U186" s="12" t="inlineStr">
        <is>
          <t>Severe finding</t>
        </is>
      </c>
      <c r="V186" s="16" t="inlineStr">
        <is>
          <t>No</t>
        </is>
      </c>
      <c r="W186" s="16" t="inlineStr">
        <is>
          <t>No</t>
        </is>
      </c>
      <c r="X186" s="25" t="inlineStr">
        <is>
          <t>U</t>
        </is>
      </c>
    </row>
    <row r="187" ht="16" customHeight="1">
      <c r="A187" s="18" t="n">
        <v>186</v>
      </c>
      <c r="B187" s="18" t="inlineStr">
        <is>
          <t>Splenic Vessels</t>
        </is>
      </c>
      <c r="C187" t="inlineStr">
        <is>
          <t>USG: Splenic Vessels</t>
        </is>
      </c>
      <c r="D187" s="18" t="inlineStr">
        <is>
          <t>Normal</t>
        </is>
      </c>
      <c r="E187" s="18" t="n"/>
      <c r="G187" s="18" t="n"/>
      <c r="I187" s="18" t="n"/>
      <c r="K187" s="18" t="n"/>
      <c r="L187" s="18" t="n"/>
      <c r="M187" s="18" t="inlineStr">
        <is>
          <t>Yes</t>
        </is>
      </c>
      <c r="N187" s="21" t="n"/>
      <c r="O187" s="21" t="n"/>
      <c r="P187" s="18" t="inlineStr">
        <is>
          <t>USG</t>
        </is>
      </c>
      <c r="Q187" s="18" t="inlineStr">
        <is>
          <t>Scan Findings (USG)</t>
        </is>
      </c>
      <c r="R187" s="9" t="inlineStr">
        <is>
          <t>Normal</t>
        </is>
      </c>
      <c r="S187" s="10" t="inlineStr">
        <is>
          <t>Any positive finding</t>
        </is>
      </c>
      <c r="T187" s="11" t="inlineStr">
        <is>
          <t>Significant finding</t>
        </is>
      </c>
      <c r="U187" s="12" t="inlineStr">
        <is>
          <t>Severe finding</t>
        </is>
      </c>
      <c r="V187" s="16" t="inlineStr">
        <is>
          <t>No</t>
        </is>
      </c>
      <c r="W187" s="16" t="inlineStr">
        <is>
          <t>No</t>
        </is>
      </c>
      <c r="X187" s="25" t="inlineStr">
        <is>
          <t>U</t>
        </is>
      </c>
    </row>
    <row r="188" ht="16" customHeight="1">
      <c r="A188" s="18" t="n">
        <v>187</v>
      </c>
      <c r="B188" s="18" t="inlineStr">
        <is>
          <t>Peripancreatic region</t>
        </is>
      </c>
      <c r="C188" t="inlineStr">
        <is>
          <t>USG: Peripancreatic Region</t>
        </is>
      </c>
      <c r="D188" s="18" t="inlineStr">
        <is>
          <t>Normal</t>
        </is>
      </c>
      <c r="E188" s="18" t="n"/>
      <c r="G188" s="18" t="inlineStr">
        <is>
          <t>Yes</t>
        </is>
      </c>
      <c r="I188" s="18" t="n"/>
      <c r="K188" s="18" t="n"/>
      <c r="L188" s="18" t="n"/>
      <c r="M188" s="18" t="n"/>
      <c r="N188" s="21" t="n"/>
      <c r="O188" s="21" t="n"/>
      <c r="P188" s="18" t="inlineStr">
        <is>
          <t>USG</t>
        </is>
      </c>
      <c r="Q188" s="18" t="inlineStr">
        <is>
          <t>Scan Findings (USG)</t>
        </is>
      </c>
      <c r="R188" s="9" t="inlineStr">
        <is>
          <t>Normal</t>
        </is>
      </c>
      <c r="S188" s="10" t="inlineStr">
        <is>
          <t>Any positive finding</t>
        </is>
      </c>
      <c r="T188" s="11" t="inlineStr">
        <is>
          <t>Significant finding</t>
        </is>
      </c>
      <c r="U188" s="12" t="inlineStr">
        <is>
          <t>Severe finding</t>
        </is>
      </c>
      <c r="V188" s="16" t="inlineStr">
        <is>
          <t>No</t>
        </is>
      </c>
      <c r="W188" s="16" t="inlineStr">
        <is>
          <t>No</t>
        </is>
      </c>
      <c r="X188" s="25" t="inlineStr">
        <is>
          <t>U</t>
        </is>
      </c>
    </row>
    <row r="189" ht="16" customHeight="1">
      <c r="A189" s="18" t="n">
        <v>188</v>
      </c>
      <c r="B189" s="18" t="inlineStr">
        <is>
          <t>Liver Parenchyma</t>
        </is>
      </c>
      <c r="C189" t="inlineStr">
        <is>
          <t>USG: Liver Tissue</t>
        </is>
      </c>
      <c r="D189" s="18" t="inlineStr">
        <is>
          <t>Normal</t>
        </is>
      </c>
      <c r="E189" s="18" t="n"/>
      <c r="G189" s="18" t="inlineStr">
        <is>
          <t>Yes</t>
        </is>
      </c>
      <c r="I189" s="18" t="n"/>
      <c r="K189" s="18" t="n"/>
      <c r="L189" s="18" t="n"/>
      <c r="M189" s="18" t="n"/>
      <c r="N189" s="21" t="n"/>
      <c r="O189" s="21" t="n"/>
      <c r="P189" s="18" t="inlineStr">
        <is>
          <t>USG</t>
        </is>
      </c>
      <c r="Q189" s="18" t="inlineStr">
        <is>
          <t>Scan Findings (USG)</t>
        </is>
      </c>
      <c r="R189" s="9" t="inlineStr">
        <is>
          <t>Normal</t>
        </is>
      </c>
      <c r="S189" s="10" t="inlineStr">
        <is>
          <t>Any positive finding</t>
        </is>
      </c>
      <c r="T189" s="11" t="inlineStr">
        <is>
          <t>Significant finding</t>
        </is>
      </c>
      <c r="U189" s="12" t="inlineStr">
        <is>
          <t>Severe finding</t>
        </is>
      </c>
      <c r="V189" s="16" t="inlineStr">
        <is>
          <t>No</t>
        </is>
      </c>
      <c r="W189" s="16" t="inlineStr">
        <is>
          <t>No</t>
        </is>
      </c>
      <c r="X189" s="25" t="inlineStr">
        <is>
          <t>U</t>
        </is>
      </c>
    </row>
    <row r="190" ht="16" customHeight="1">
      <c r="A190" s="18" t="n">
        <v>189</v>
      </c>
      <c r="B190" s="18" t="inlineStr">
        <is>
          <t>Extrahepatic biliary tree</t>
        </is>
      </c>
      <c r="C190" t="inlineStr">
        <is>
          <t>USG: Extrahepatic Biliary Tree</t>
        </is>
      </c>
      <c r="D190" s="18" t="inlineStr">
        <is>
          <t>Normal</t>
        </is>
      </c>
      <c r="E190" s="18" t="n"/>
      <c r="G190" s="18" t="inlineStr">
        <is>
          <t>Yes</t>
        </is>
      </c>
      <c r="I190" s="18" t="n"/>
      <c r="K190" s="18" t="n"/>
      <c r="L190" s="18" t="n"/>
      <c r="M190" s="18" t="n"/>
      <c r="N190" s="21" t="n"/>
      <c r="O190" s="21" t="n"/>
      <c r="P190" s="18" t="inlineStr">
        <is>
          <t>USG</t>
        </is>
      </c>
      <c r="Q190" s="18" t="inlineStr">
        <is>
          <t>Scan Findings (USG)</t>
        </is>
      </c>
      <c r="R190" s="9" t="inlineStr">
        <is>
          <t>Normal</t>
        </is>
      </c>
      <c r="S190" s="10" t="inlineStr">
        <is>
          <t>Any positive finding</t>
        </is>
      </c>
      <c r="T190" s="11" t="inlineStr">
        <is>
          <t>Significant finding</t>
        </is>
      </c>
      <c r="U190" s="12" t="inlineStr">
        <is>
          <t>Severe finding</t>
        </is>
      </c>
      <c r="V190" s="16" t="inlineStr">
        <is>
          <t>No</t>
        </is>
      </c>
      <c r="W190" s="16" t="inlineStr">
        <is>
          <t>No</t>
        </is>
      </c>
      <c r="X190" s="25" t="inlineStr">
        <is>
          <t>U</t>
        </is>
      </c>
    </row>
    <row r="191" ht="16" customHeight="1">
      <c r="A191" s="18" t="n">
        <v>190</v>
      </c>
      <c r="B191" s="18" t="inlineStr">
        <is>
          <t>Pancreatic Parenchyma</t>
        </is>
      </c>
      <c r="C191" t="inlineStr">
        <is>
          <t>USG: Pancreatic Tissue</t>
        </is>
      </c>
      <c r="D191" s="18" t="inlineStr">
        <is>
          <t>Normal</t>
        </is>
      </c>
      <c r="E191" s="18" t="n"/>
      <c r="G191" s="18" t="inlineStr">
        <is>
          <t>Yes</t>
        </is>
      </c>
      <c r="I191" s="18" t="n"/>
      <c r="K191" s="18" t="n"/>
      <c r="L191" s="18" t="n"/>
      <c r="M191" s="18" t="n"/>
      <c r="N191" s="21" t="n"/>
      <c r="O191" s="21" t="n"/>
      <c r="P191" s="18" t="inlineStr">
        <is>
          <t>USG</t>
        </is>
      </c>
      <c r="Q191" s="18" t="inlineStr">
        <is>
          <t>Scan Findings (USG)</t>
        </is>
      </c>
      <c r="R191" s="9" t="inlineStr">
        <is>
          <t>Normal</t>
        </is>
      </c>
      <c r="S191" s="10" t="inlineStr">
        <is>
          <t>Any positive finding</t>
        </is>
      </c>
      <c r="T191" s="11" t="inlineStr">
        <is>
          <t>Significant finding</t>
        </is>
      </c>
      <c r="U191" s="12" t="inlineStr">
        <is>
          <t>Severe finding</t>
        </is>
      </c>
      <c r="V191" s="16" t="inlineStr">
        <is>
          <t>No</t>
        </is>
      </c>
      <c r="W191" s="16" t="inlineStr">
        <is>
          <t>No</t>
        </is>
      </c>
      <c r="X191" s="25" t="inlineStr">
        <is>
          <t>U</t>
        </is>
      </c>
    </row>
    <row r="192" ht="16" customHeight="1">
      <c r="A192" s="18" t="n">
        <v>191</v>
      </c>
      <c r="B192" s="18" t="inlineStr">
        <is>
          <t>Bowel</t>
        </is>
      </c>
      <c r="C192" t="inlineStr">
        <is>
          <t>USG: Bowel</t>
        </is>
      </c>
      <c r="D192" s="18" t="inlineStr">
        <is>
          <t>Normal</t>
        </is>
      </c>
      <c r="E192" s="18" t="n"/>
      <c r="G192" s="18" t="inlineStr">
        <is>
          <t>Yes</t>
        </is>
      </c>
      <c r="I192" s="18" t="n"/>
      <c r="K192" s="18" t="n"/>
      <c r="L192" s="18" t="n"/>
      <c r="M192" s="18" t="n"/>
      <c r="N192" s="21" t="n"/>
      <c r="O192" s="21" t="n"/>
      <c r="P192" s="18" t="inlineStr">
        <is>
          <t>USG</t>
        </is>
      </c>
      <c r="Q192" s="18" t="inlineStr">
        <is>
          <t>Scan Findings (USG)</t>
        </is>
      </c>
      <c r="R192" s="9" t="inlineStr">
        <is>
          <t>Normal</t>
        </is>
      </c>
      <c r="S192" s="10" t="inlineStr">
        <is>
          <t>Any positive finding</t>
        </is>
      </c>
      <c r="T192" s="11" t="inlineStr">
        <is>
          <t>Significant finding</t>
        </is>
      </c>
      <c r="U192" s="12" t="inlineStr">
        <is>
          <t>Severe finding</t>
        </is>
      </c>
      <c r="V192" s="16" t="inlineStr">
        <is>
          <t>No</t>
        </is>
      </c>
      <c r="W192" s="16" t="inlineStr">
        <is>
          <t>No</t>
        </is>
      </c>
      <c r="X192" s="25" t="inlineStr">
        <is>
          <t>U</t>
        </is>
      </c>
    </row>
    <row r="193" ht="16" customHeight="1">
      <c r="A193" s="18" t="n">
        <v>192</v>
      </c>
      <c r="B193" s="18" t="inlineStr">
        <is>
          <t>Splenic Hilum</t>
        </is>
      </c>
      <c r="C193" t="inlineStr">
        <is>
          <t>USG: Splenic Hilum</t>
        </is>
      </c>
      <c r="D193" s="18" t="inlineStr">
        <is>
          <t>Normal</t>
        </is>
      </c>
      <c r="E193" s="18" t="n"/>
      <c r="G193" s="18" t="inlineStr">
        <is>
          <t>Yes</t>
        </is>
      </c>
      <c r="I193" s="18" t="n"/>
      <c r="K193" s="18" t="n"/>
      <c r="L193" s="18" t="n"/>
      <c r="M193" s="18" t="n"/>
      <c r="N193" s="21" t="n"/>
      <c r="O193" s="21" t="n"/>
      <c r="P193" s="18" t="inlineStr">
        <is>
          <t>USG</t>
        </is>
      </c>
      <c r="Q193" s="18" t="inlineStr">
        <is>
          <t>Scan Findings (USG)</t>
        </is>
      </c>
      <c r="R193" s="9" t="inlineStr">
        <is>
          <t>Normal</t>
        </is>
      </c>
      <c r="S193" s="10" t="inlineStr">
        <is>
          <t>Any positive finding</t>
        </is>
      </c>
      <c r="T193" s="11" t="inlineStr">
        <is>
          <t>Significant finding</t>
        </is>
      </c>
      <c r="U193" s="12" t="inlineStr">
        <is>
          <t>Severe finding</t>
        </is>
      </c>
      <c r="V193" s="16" t="inlineStr">
        <is>
          <t>No</t>
        </is>
      </c>
      <c r="W193" s="16" t="inlineStr">
        <is>
          <t>No</t>
        </is>
      </c>
      <c r="X193" s="25" t="inlineStr">
        <is>
          <t>U</t>
        </is>
      </c>
    </row>
    <row r="194" ht="16" customHeight="1">
      <c r="A194" s="18" t="n">
        <v>193</v>
      </c>
      <c r="B194" s="18" t="inlineStr">
        <is>
          <t>Spleen Parenchyma</t>
        </is>
      </c>
      <c r="C194" t="inlineStr">
        <is>
          <t>USG: Spleen Tissue</t>
        </is>
      </c>
      <c r="D194" s="18" t="inlineStr">
        <is>
          <t>Normal</t>
        </is>
      </c>
      <c r="E194" s="18" t="n"/>
      <c r="G194" s="18" t="inlineStr">
        <is>
          <t>Yes</t>
        </is>
      </c>
      <c r="I194" s="18" t="n"/>
      <c r="K194" s="18" t="n"/>
      <c r="L194" s="18" t="n"/>
      <c r="M194" s="18" t="n"/>
      <c r="N194" s="21" t="n"/>
      <c r="O194" s="21" t="n"/>
      <c r="P194" s="18" t="inlineStr">
        <is>
          <t>USG</t>
        </is>
      </c>
      <c r="Q194" s="18" t="inlineStr">
        <is>
          <t>Scan Findings (USG)</t>
        </is>
      </c>
      <c r="R194" s="9" t="inlineStr">
        <is>
          <t>Normal</t>
        </is>
      </c>
      <c r="S194" s="10" t="inlineStr">
        <is>
          <t>Any positive finding</t>
        </is>
      </c>
      <c r="T194" s="11" t="inlineStr">
        <is>
          <t>Significant finding</t>
        </is>
      </c>
      <c r="U194" s="12" t="inlineStr">
        <is>
          <t>Severe finding</t>
        </is>
      </c>
      <c r="V194" s="16" t="inlineStr">
        <is>
          <t>No</t>
        </is>
      </c>
      <c r="W194" s="16" t="inlineStr">
        <is>
          <t>No</t>
        </is>
      </c>
      <c r="X194" s="25" t="inlineStr">
        <is>
          <t>U</t>
        </is>
      </c>
    </row>
    <row r="195" ht="16" customHeight="1">
      <c r="A195" s="18" t="n">
        <v>194</v>
      </c>
      <c r="B195" s="18" t="inlineStr">
        <is>
          <t>Spleen Size &amp; Outline</t>
        </is>
      </c>
      <c r="C195" t="inlineStr">
        <is>
          <t>USG: Spleen Size &amp; Outline</t>
        </is>
      </c>
      <c r="D195" s="18" t="inlineStr">
        <is>
          <t>Normal</t>
        </is>
      </c>
      <c r="E195" s="18" t="n"/>
      <c r="G195" s="18" t="inlineStr">
        <is>
          <t>Yes</t>
        </is>
      </c>
      <c r="I195" s="18" t="n"/>
      <c r="K195" s="18" t="n"/>
      <c r="L195" s="18" t="n"/>
      <c r="M195" s="18" t="n"/>
      <c r="N195" s="21" t="n"/>
      <c r="O195" s="21" t="n"/>
      <c r="P195" s="18" t="inlineStr">
        <is>
          <t>USG</t>
        </is>
      </c>
      <c r="Q195" s="18" t="inlineStr">
        <is>
          <t>Scan Findings (USG)</t>
        </is>
      </c>
      <c r="R195" s="9" t="inlineStr">
        <is>
          <t>Normal</t>
        </is>
      </c>
      <c r="S195" s="10" t="inlineStr">
        <is>
          <t>Any positive finding</t>
        </is>
      </c>
      <c r="T195" s="11" t="inlineStr">
        <is>
          <t>Significant finding</t>
        </is>
      </c>
      <c r="U195" s="12" t="inlineStr">
        <is>
          <t>Severe finding</t>
        </is>
      </c>
      <c r="V195" s="16" t="inlineStr">
        <is>
          <t>No</t>
        </is>
      </c>
      <c r="W195" s="16" t="inlineStr">
        <is>
          <t>No</t>
        </is>
      </c>
      <c r="X195" s="25" t="inlineStr">
        <is>
          <t>U</t>
        </is>
      </c>
    </row>
    <row r="196" ht="16" customHeight="1">
      <c r="A196" s="18" t="n">
        <v>195</v>
      </c>
      <c r="B196" s="18" t="inlineStr">
        <is>
          <t>Pancreas Outline</t>
        </is>
      </c>
      <c r="C196" t="inlineStr">
        <is>
          <t>USG: Pancreas Outline</t>
        </is>
      </c>
      <c r="D196" s="18" t="inlineStr">
        <is>
          <t>Normal</t>
        </is>
      </c>
      <c r="E196" s="18" t="n"/>
      <c r="G196" s="18" t="inlineStr">
        <is>
          <t>Yes</t>
        </is>
      </c>
      <c r="I196" s="18" t="n"/>
      <c r="K196" s="18" t="n"/>
      <c r="L196" s="18" t="n"/>
      <c r="M196" s="18" t="n"/>
      <c r="N196" s="21" t="n"/>
      <c r="O196" s="21" t="n"/>
      <c r="P196" s="18" t="inlineStr">
        <is>
          <t>USG</t>
        </is>
      </c>
      <c r="Q196" s="18" t="inlineStr">
        <is>
          <t>Scan Findings (USG)</t>
        </is>
      </c>
      <c r="R196" s="9" t="inlineStr">
        <is>
          <t>Normal</t>
        </is>
      </c>
      <c r="S196" s="10" t="inlineStr">
        <is>
          <t>Any positive finding</t>
        </is>
      </c>
      <c r="T196" s="11" t="inlineStr">
        <is>
          <t>Significant finding</t>
        </is>
      </c>
      <c r="U196" s="12" t="inlineStr">
        <is>
          <t>Severe finding</t>
        </is>
      </c>
      <c r="V196" s="16" t="inlineStr">
        <is>
          <t>No</t>
        </is>
      </c>
      <c r="W196" s="16" t="inlineStr">
        <is>
          <t>No</t>
        </is>
      </c>
      <c r="X196" s="25" t="inlineStr">
        <is>
          <t>U</t>
        </is>
      </c>
    </row>
    <row r="197" ht="16" customHeight="1">
      <c r="A197" s="18" t="n">
        <v>196</v>
      </c>
      <c r="B197" s="18" t="inlineStr">
        <is>
          <t>Pancreas Duct</t>
        </is>
      </c>
      <c r="C197" t="inlineStr">
        <is>
          <t>USG: Pancreatic Duct</t>
        </is>
      </c>
      <c r="D197" s="18" t="inlineStr">
        <is>
          <t>Normal</t>
        </is>
      </c>
      <c r="E197" s="18" t="n"/>
      <c r="G197" s="18" t="inlineStr">
        <is>
          <t>Yes</t>
        </is>
      </c>
      <c r="I197" s="18" t="n"/>
      <c r="K197" s="18" t="n"/>
      <c r="L197" s="18" t="n"/>
      <c r="M197" s="18" t="n"/>
      <c r="N197" s="21" t="n"/>
      <c r="O197" s="21" t="n"/>
      <c r="P197" s="18" t="inlineStr">
        <is>
          <t>USG</t>
        </is>
      </c>
      <c r="Q197" s="18" t="inlineStr">
        <is>
          <t>Scan Findings (USG)</t>
        </is>
      </c>
      <c r="R197" s="9" t="inlineStr">
        <is>
          <t>Normal</t>
        </is>
      </c>
      <c r="S197" s="10" t="inlineStr">
        <is>
          <t>Any positive finding</t>
        </is>
      </c>
      <c r="T197" s="11" t="inlineStr">
        <is>
          <t>Significant finding</t>
        </is>
      </c>
      <c r="U197" s="12" t="inlineStr">
        <is>
          <t>Severe finding</t>
        </is>
      </c>
      <c r="V197" s="16" t="inlineStr">
        <is>
          <t>No</t>
        </is>
      </c>
      <c r="W197" s="16" t="inlineStr">
        <is>
          <t>No</t>
        </is>
      </c>
      <c r="X197" s="25" t="inlineStr">
        <is>
          <t>U</t>
        </is>
      </c>
    </row>
    <row r="198" ht="16" customHeight="1">
      <c r="A198" s="18" t="n">
        <v>197</v>
      </c>
      <c r="B198" s="18" t="inlineStr">
        <is>
          <t>Gallbladder Pericholecystic Region</t>
        </is>
      </c>
      <c r="C198" t="inlineStr">
        <is>
          <t>USG: Gallbladder Region</t>
        </is>
      </c>
      <c r="D198" s="18" t="inlineStr">
        <is>
          <t>Normal</t>
        </is>
      </c>
      <c r="E198" s="18" t="n"/>
      <c r="G198" s="18" t="inlineStr">
        <is>
          <t>Yes</t>
        </is>
      </c>
      <c r="I198" s="18" t="n"/>
      <c r="K198" s="18" t="n"/>
      <c r="L198" s="18" t="n"/>
      <c r="M198" s="18" t="n"/>
      <c r="N198" s="21" t="n"/>
      <c r="O198" s="21" t="n"/>
      <c r="P198" s="18" t="inlineStr">
        <is>
          <t>USG</t>
        </is>
      </c>
      <c r="Q198" s="18" t="inlineStr">
        <is>
          <t>Scan Findings (USG)</t>
        </is>
      </c>
      <c r="R198" s="9" t="inlineStr">
        <is>
          <t>Normal</t>
        </is>
      </c>
      <c r="S198" s="10" t="inlineStr">
        <is>
          <t>Any positive finding</t>
        </is>
      </c>
      <c r="T198" s="11" t="inlineStr">
        <is>
          <t>Significant finding</t>
        </is>
      </c>
      <c r="U198" s="12" t="inlineStr">
        <is>
          <t>Severe finding</t>
        </is>
      </c>
      <c r="V198" s="16" t="inlineStr">
        <is>
          <t>No</t>
        </is>
      </c>
      <c r="W198" s="16" t="inlineStr">
        <is>
          <t>No</t>
        </is>
      </c>
      <c r="X198" s="25" t="inlineStr">
        <is>
          <t>U</t>
        </is>
      </c>
    </row>
    <row r="199" ht="16" customHeight="1">
      <c r="A199" s="18" t="n">
        <v>198</v>
      </c>
      <c r="B199" s="18" t="inlineStr">
        <is>
          <t>Gall Bladder Content</t>
        </is>
      </c>
      <c r="C199" t="inlineStr">
        <is>
          <t>USG: Gallbladder Content</t>
        </is>
      </c>
      <c r="D199" s="18" t="inlineStr">
        <is>
          <t>Normal</t>
        </is>
      </c>
      <c r="E199" s="18" t="n"/>
      <c r="G199" s="18" t="inlineStr">
        <is>
          <t>Yes</t>
        </is>
      </c>
      <c r="I199" s="18" t="n"/>
      <c r="K199" s="18" t="n"/>
      <c r="L199" s="18" t="n"/>
      <c r="M199" s="18" t="n"/>
      <c r="N199" s="21" t="n"/>
      <c r="O199" s="21" t="n"/>
      <c r="P199" s="18" t="inlineStr">
        <is>
          <t>USG</t>
        </is>
      </c>
      <c r="Q199" s="18" t="inlineStr">
        <is>
          <t>Scan Findings (USG)</t>
        </is>
      </c>
      <c r="R199" s="9" t="inlineStr">
        <is>
          <t>Clear</t>
        </is>
      </c>
      <c r="S199" s="10" t="inlineStr">
        <is>
          <t>Any positive finding</t>
        </is>
      </c>
      <c r="T199" s="11" t="inlineStr">
        <is>
          <t>Significant finding</t>
        </is>
      </c>
      <c r="U199" s="12" t="inlineStr">
        <is>
          <t>Severe finding</t>
        </is>
      </c>
      <c r="V199" s="16" t="inlineStr">
        <is>
          <t>No</t>
        </is>
      </c>
      <c r="W199" s="16" t="inlineStr">
        <is>
          <t>No</t>
        </is>
      </c>
      <c r="X199" s="25" t="inlineStr">
        <is>
          <t>U</t>
        </is>
      </c>
    </row>
    <row r="200" ht="16" customHeight="1">
      <c r="A200" s="18" t="n">
        <v>199</v>
      </c>
      <c r="B200" s="18" t="inlineStr">
        <is>
          <t>Periportal region</t>
        </is>
      </c>
      <c r="C200" t="inlineStr">
        <is>
          <t>USG: Periportal Region</t>
        </is>
      </c>
      <c r="D200" s="18" t="inlineStr">
        <is>
          <t>Normal</t>
        </is>
      </c>
      <c r="E200" s="18" t="n"/>
      <c r="G200" s="18" t="inlineStr">
        <is>
          <t>Yes</t>
        </is>
      </c>
      <c r="I200" s="18" t="n"/>
      <c r="K200" s="18" t="n"/>
      <c r="L200" s="18" t="n"/>
      <c r="M200" s="18" t="n"/>
      <c r="N200" s="21" t="n"/>
      <c r="O200" s="21" t="n"/>
      <c r="P200" s="18" t="inlineStr">
        <is>
          <t>USG</t>
        </is>
      </c>
      <c r="Q200" s="18" t="inlineStr">
        <is>
          <t>Scan Findings (USG)</t>
        </is>
      </c>
      <c r="R200" s="9" t="inlineStr">
        <is>
          <t>Normal</t>
        </is>
      </c>
      <c r="S200" s="10" t="inlineStr">
        <is>
          <t>Any positive finding</t>
        </is>
      </c>
      <c r="T200" s="11" t="inlineStr">
        <is>
          <t>Significant finding</t>
        </is>
      </c>
      <c r="U200" s="12" t="inlineStr">
        <is>
          <t>Severe finding</t>
        </is>
      </c>
      <c r="V200" s="16" t="inlineStr">
        <is>
          <t>No</t>
        </is>
      </c>
      <c r="W200" s="16" t="inlineStr">
        <is>
          <t>No</t>
        </is>
      </c>
      <c r="X200" s="25" t="inlineStr">
        <is>
          <t>U</t>
        </is>
      </c>
    </row>
    <row r="201" ht="16" customHeight="1">
      <c r="A201" s="18" t="n">
        <v>200</v>
      </c>
      <c r="B201" s="18" t="inlineStr">
        <is>
          <t>Hepatic veins</t>
        </is>
      </c>
      <c r="C201" t="inlineStr">
        <is>
          <t>USG: Hepatic Veins</t>
        </is>
      </c>
      <c r="D201" s="18" t="inlineStr">
        <is>
          <t>Normal</t>
        </is>
      </c>
      <c r="E201" s="18" t="n"/>
      <c r="G201" s="18" t="inlineStr">
        <is>
          <t>Yes</t>
        </is>
      </c>
      <c r="I201" s="18" t="n"/>
      <c r="K201" s="18" t="n"/>
      <c r="L201" s="18" t="n"/>
      <c r="M201" s="18" t="n"/>
      <c r="N201" s="21" t="n"/>
      <c r="O201" s="21" t="n"/>
      <c r="P201" s="18" t="inlineStr">
        <is>
          <t>USG</t>
        </is>
      </c>
      <c r="Q201" s="18" t="inlineStr">
        <is>
          <t>Scan Findings (USG)</t>
        </is>
      </c>
      <c r="R201" s="9" t="n"/>
      <c r="S201" s="10" t="inlineStr">
        <is>
          <t>—</t>
        </is>
      </c>
      <c r="T201" s="11" t="inlineStr">
        <is>
          <t>—</t>
        </is>
      </c>
      <c r="U201" s="12" t="inlineStr">
        <is>
          <t>—</t>
        </is>
      </c>
      <c r="V201" s="16" t="inlineStr">
        <is>
          <t>No</t>
        </is>
      </c>
      <c r="W201" s="16" t="inlineStr">
        <is>
          <t>No</t>
        </is>
      </c>
      <c r="X201" s="25" t="inlineStr">
        <is>
          <t>U</t>
        </is>
      </c>
    </row>
    <row r="202" ht="16" customHeight="1">
      <c r="A202" s="18" t="n">
        <v>201</v>
      </c>
      <c r="B202" s="18" t="inlineStr">
        <is>
          <t>Oesophagus</t>
        </is>
      </c>
      <c r="C202" t="inlineStr">
        <is>
          <t>USG: Oesophagus</t>
        </is>
      </c>
      <c r="D202" s="18" t="inlineStr">
        <is>
          <t>Normal</t>
        </is>
      </c>
      <c r="E202" s="18" t="n"/>
      <c r="G202" s="18" t="inlineStr">
        <is>
          <t>Yes</t>
        </is>
      </c>
      <c r="I202" s="18" t="n"/>
      <c r="K202" s="18" t="n"/>
      <c r="L202" s="18" t="n"/>
      <c r="M202" s="18" t="n"/>
      <c r="N202" s="21" t="n"/>
      <c r="O202" s="21" t="n"/>
      <c r="P202" s="18" t="inlineStr">
        <is>
          <t>USG</t>
        </is>
      </c>
      <c r="Q202" s="18" t="inlineStr">
        <is>
          <t>Scan Findings (USG)</t>
        </is>
      </c>
      <c r="R202" s="9" t="inlineStr">
        <is>
          <t>Normal</t>
        </is>
      </c>
      <c r="S202" s="10" t="inlineStr">
        <is>
          <t>Any positive finding</t>
        </is>
      </c>
      <c r="T202" s="11" t="inlineStr">
        <is>
          <t>Significant finding</t>
        </is>
      </c>
      <c r="U202" s="12" t="inlineStr">
        <is>
          <t>Severe finding</t>
        </is>
      </c>
      <c r="V202" s="16" t="inlineStr">
        <is>
          <t>No</t>
        </is>
      </c>
      <c r="W202" s="16" t="inlineStr">
        <is>
          <t>No</t>
        </is>
      </c>
      <c r="X202" s="25" t="inlineStr">
        <is>
          <t>U</t>
        </is>
      </c>
    </row>
    <row r="203" ht="16" customHeight="1">
      <c r="A203" s="18" t="n">
        <v>202</v>
      </c>
      <c r="B203" s="18" t="inlineStr">
        <is>
          <t>Parotid Glands</t>
        </is>
      </c>
      <c r="C203" t="inlineStr">
        <is>
          <t>USG: Parotid Glands</t>
        </is>
      </c>
      <c r="D203" s="18" t="inlineStr">
        <is>
          <t>Normal</t>
        </is>
      </c>
      <c r="E203" s="18" t="n"/>
      <c r="G203" s="18" t="inlineStr">
        <is>
          <t>Yes</t>
        </is>
      </c>
      <c r="I203" s="18" t="n"/>
      <c r="K203" s="18" t="n"/>
      <c r="L203" s="18" t="n"/>
      <c r="M203" s="18" t="n"/>
      <c r="N203" s="21" t="n"/>
      <c r="O203" s="21" t="n"/>
      <c r="P203" s="18" t="inlineStr">
        <is>
          <t>USG</t>
        </is>
      </c>
      <c r="Q203" s="18" t="inlineStr">
        <is>
          <t>Scan Findings (USG)</t>
        </is>
      </c>
      <c r="R203" s="9" t="inlineStr">
        <is>
          <t>Normal</t>
        </is>
      </c>
      <c r="S203" s="10" t="inlineStr">
        <is>
          <t>Any positive finding</t>
        </is>
      </c>
      <c r="T203" s="11" t="inlineStr">
        <is>
          <t>Significant finding</t>
        </is>
      </c>
      <c r="U203" s="12" t="inlineStr">
        <is>
          <t>Severe finding</t>
        </is>
      </c>
      <c r="V203" s="16" t="inlineStr">
        <is>
          <t>No</t>
        </is>
      </c>
      <c r="W203" s="16" t="inlineStr">
        <is>
          <t>No</t>
        </is>
      </c>
      <c r="X203" s="25" t="inlineStr">
        <is>
          <t>U</t>
        </is>
      </c>
    </row>
    <row r="204" ht="16" customHeight="1">
      <c r="A204" s="18" t="n">
        <v>203</v>
      </c>
      <c r="B204" s="18" t="inlineStr">
        <is>
          <t>Oropharynx</t>
        </is>
      </c>
      <c r="C204" t="inlineStr">
        <is>
          <t>USG: Oropharynx</t>
        </is>
      </c>
      <c r="D204" s="18" t="inlineStr">
        <is>
          <t>Normal</t>
        </is>
      </c>
      <c r="E204" s="18" t="n"/>
      <c r="G204" s="18" t="inlineStr">
        <is>
          <t>Yes</t>
        </is>
      </c>
      <c r="I204" s="18" t="n"/>
      <c r="K204" s="18" t="n"/>
      <c r="L204" s="18" t="n"/>
      <c r="M204" s="18" t="n"/>
      <c r="N204" s="21" t="n"/>
      <c r="O204" s="21" t="n"/>
      <c r="P204" s="18" t="inlineStr">
        <is>
          <t>USG</t>
        </is>
      </c>
      <c r="Q204" s="18" t="inlineStr">
        <is>
          <t>Scan Findings (USG)</t>
        </is>
      </c>
      <c r="R204" s="9" t="inlineStr">
        <is>
          <t>Normal</t>
        </is>
      </c>
      <c r="S204" s="10" t="inlineStr">
        <is>
          <t>Any positive finding</t>
        </is>
      </c>
      <c r="T204" s="11" t="inlineStr">
        <is>
          <t>Significant finding</t>
        </is>
      </c>
      <c r="U204" s="12" t="inlineStr">
        <is>
          <t>Severe finding</t>
        </is>
      </c>
      <c r="V204" s="16" t="inlineStr">
        <is>
          <t>No</t>
        </is>
      </c>
      <c r="W204" s="16" t="inlineStr">
        <is>
          <t>No</t>
        </is>
      </c>
      <c r="X204" s="25" t="inlineStr">
        <is>
          <t>U</t>
        </is>
      </c>
    </row>
    <row r="205" ht="16" customHeight="1">
      <c r="A205" s="18" t="n">
        <v>204</v>
      </c>
      <c r="B205" s="18" t="inlineStr">
        <is>
          <t>Nasopharynx</t>
        </is>
      </c>
      <c r="C205" t="inlineStr">
        <is>
          <t>USG: Nasopharynx</t>
        </is>
      </c>
      <c r="D205" s="18" t="inlineStr">
        <is>
          <t>Normal</t>
        </is>
      </c>
      <c r="E205" s="18" t="n"/>
      <c r="G205" s="18" t="inlineStr">
        <is>
          <t>Yes</t>
        </is>
      </c>
      <c r="I205" s="18" t="n"/>
      <c r="K205" s="18" t="n"/>
      <c r="L205" s="18" t="n"/>
      <c r="M205" s="18" t="n"/>
      <c r="N205" s="21" t="n"/>
      <c r="O205" s="21" t="n"/>
      <c r="P205" s="18" t="inlineStr">
        <is>
          <t>USG</t>
        </is>
      </c>
      <c r="Q205" s="18" t="inlineStr">
        <is>
          <t>Scan Findings (USG)</t>
        </is>
      </c>
      <c r="R205" s="9" t="inlineStr">
        <is>
          <t>Normal</t>
        </is>
      </c>
      <c r="S205" s="10" t="inlineStr">
        <is>
          <t>Any positive finding</t>
        </is>
      </c>
      <c r="T205" s="11" t="inlineStr">
        <is>
          <t>Significant finding</t>
        </is>
      </c>
      <c r="U205" s="12" t="inlineStr">
        <is>
          <t>Severe finding</t>
        </is>
      </c>
      <c r="V205" s="16" t="inlineStr">
        <is>
          <t>No</t>
        </is>
      </c>
      <c r="W205" s="16" t="inlineStr">
        <is>
          <t>No</t>
        </is>
      </c>
      <c r="X205" s="25" t="inlineStr">
        <is>
          <t>U</t>
        </is>
      </c>
    </row>
    <row r="206" ht="16" customHeight="1">
      <c r="A206" s="18" t="n">
        <v>205</v>
      </c>
      <c r="B206" s="18" t="inlineStr">
        <is>
          <t>Intrahepatic biliary Radicals</t>
        </is>
      </c>
      <c r="C206" t="inlineStr">
        <is>
          <t>USG: Intrahepatic Biliary</t>
        </is>
      </c>
      <c r="D206" s="18" t="inlineStr">
        <is>
          <t>Normal</t>
        </is>
      </c>
      <c r="E206" s="18" t="n"/>
      <c r="G206" s="18" t="inlineStr">
        <is>
          <t>Yes</t>
        </is>
      </c>
      <c r="I206" s="18" t="n"/>
      <c r="K206" s="18" t="n"/>
      <c r="L206" s="18" t="n"/>
      <c r="M206" s="18" t="n"/>
      <c r="N206" s="21" t="n"/>
      <c r="O206" s="21" t="n"/>
      <c r="P206" s="18" t="inlineStr">
        <is>
          <t>USG</t>
        </is>
      </c>
      <c r="Q206" s="18" t="inlineStr">
        <is>
          <t>Scan Findings (USG)</t>
        </is>
      </c>
      <c r="R206" s="9" t="inlineStr">
        <is>
          <t>Normal</t>
        </is>
      </c>
      <c r="S206" s="10" t="inlineStr">
        <is>
          <t>Any positive finding</t>
        </is>
      </c>
      <c r="T206" s="11" t="inlineStr">
        <is>
          <t>Significant finding</t>
        </is>
      </c>
      <c r="U206" s="12" t="inlineStr">
        <is>
          <t>Severe finding</t>
        </is>
      </c>
      <c r="V206" s="16" t="inlineStr">
        <is>
          <t>No</t>
        </is>
      </c>
      <c r="W206" s="16" t="inlineStr">
        <is>
          <t>No</t>
        </is>
      </c>
      <c r="X206" s="25" t="inlineStr">
        <is>
          <t>U</t>
        </is>
      </c>
    </row>
    <row r="207" ht="16" customHeight="1">
      <c r="A207" s="18" t="n">
        <v>206</v>
      </c>
      <c r="B207" s="18" t="inlineStr">
        <is>
          <t>Cord, conus</t>
        </is>
      </c>
      <c r="C207" t="inlineStr">
        <is>
          <t>MRI Spine: Cord &amp; Conus</t>
        </is>
      </c>
      <c r="D207" s="18" t="inlineStr">
        <is>
          <t>Normal</t>
        </is>
      </c>
      <c r="E207" s="18" t="n"/>
      <c r="G207" s="18" t="n"/>
      <c r="I207" s="18" t="n"/>
      <c r="K207" s="18" t="inlineStr">
        <is>
          <t>Yes</t>
        </is>
      </c>
      <c r="L207" s="18" t="n"/>
      <c r="M207" s="18" t="n"/>
      <c r="N207" s="21" t="n"/>
      <c r="O207" s="21" t="n"/>
      <c r="P207" s="18" t="inlineStr">
        <is>
          <t>MRI</t>
        </is>
      </c>
      <c r="Q207" s="18" t="inlineStr">
        <is>
          <t>MRI Report</t>
        </is>
      </c>
      <c r="R207" s="9" t="inlineStr">
        <is>
          <t>Normal</t>
        </is>
      </c>
      <c r="S207" s="10" t="inlineStr">
        <is>
          <t>Any positive finding</t>
        </is>
      </c>
      <c r="T207" s="11" t="inlineStr">
        <is>
          <t>Significant finding</t>
        </is>
      </c>
      <c r="U207" s="12" t="inlineStr">
        <is>
          <t>Severe finding</t>
        </is>
      </c>
      <c r="V207" s="16" t="inlineStr">
        <is>
          <t>No</t>
        </is>
      </c>
      <c r="W207" s="16" t="inlineStr">
        <is>
          <t>No</t>
        </is>
      </c>
      <c r="X207" s="25" t="inlineStr">
        <is>
          <t>U</t>
        </is>
      </c>
    </row>
    <row r="208" ht="16" customHeight="1">
      <c r="A208" s="18" t="n">
        <v>207</v>
      </c>
      <c r="B208" s="18" t="inlineStr">
        <is>
          <t>Paravertebral muscles</t>
        </is>
      </c>
      <c r="C208" t="inlineStr">
        <is>
          <t>MRI: Paravertebral Muscles</t>
        </is>
      </c>
      <c r="D208" s="18" t="inlineStr">
        <is>
          <t>Normal</t>
        </is>
      </c>
      <c r="E208" s="18" t="n"/>
      <c r="G208" s="18" t="n"/>
      <c r="I208" s="18" t="n"/>
      <c r="K208" s="18" t="inlineStr">
        <is>
          <t>Yes</t>
        </is>
      </c>
      <c r="L208" s="18" t="n"/>
      <c r="M208" s="18" t="n"/>
      <c r="N208" s="21" t="n"/>
      <c r="O208" s="21" t="n"/>
      <c r="P208" s="18" t="inlineStr">
        <is>
          <t>MRI</t>
        </is>
      </c>
      <c r="Q208" s="18" t="inlineStr">
        <is>
          <t>MRI Report</t>
        </is>
      </c>
      <c r="R208" s="9" t="inlineStr">
        <is>
          <t>Normal</t>
        </is>
      </c>
      <c r="S208" s="10" t="inlineStr">
        <is>
          <t>Any positive finding</t>
        </is>
      </c>
      <c r="T208" s="11" t="inlineStr">
        <is>
          <t>Significant finding</t>
        </is>
      </c>
      <c r="U208" s="12" t="inlineStr">
        <is>
          <t>Severe finding</t>
        </is>
      </c>
      <c r="V208" s="16" t="inlineStr">
        <is>
          <t>No</t>
        </is>
      </c>
      <c r="W208" s="16" t="inlineStr">
        <is>
          <t>No</t>
        </is>
      </c>
      <c r="X208" s="25" t="inlineStr">
        <is>
          <t>U</t>
        </is>
      </c>
    </row>
    <row r="209" ht="16" customHeight="1">
      <c r="A209" s="18" t="n">
        <v>208</v>
      </c>
      <c r="B209" s="18" t="inlineStr">
        <is>
          <t>Facets</t>
        </is>
      </c>
      <c r="C209" t="inlineStr">
        <is>
          <t>MRI Spine: Facets</t>
        </is>
      </c>
      <c r="D209" s="18" t="inlineStr">
        <is>
          <t>Normal</t>
        </is>
      </c>
      <c r="E209" s="18" t="n"/>
      <c r="G209" s="18" t="n"/>
      <c r="I209" s="18" t="n"/>
      <c r="K209" s="18" t="inlineStr">
        <is>
          <t>Yes</t>
        </is>
      </c>
      <c r="L209" s="18" t="n"/>
      <c r="M209" s="18" t="n"/>
      <c r="N209" s="21" t="n"/>
      <c r="O209" s="21" t="n"/>
      <c r="P209" s="18" t="inlineStr">
        <is>
          <t>MRI</t>
        </is>
      </c>
      <c r="Q209" s="18" t="inlineStr">
        <is>
          <t>MRI Report</t>
        </is>
      </c>
      <c r="R209" s="9" t="inlineStr">
        <is>
          <t>Normal</t>
        </is>
      </c>
      <c r="S209" s="10" t="inlineStr">
        <is>
          <t>Any positive finding</t>
        </is>
      </c>
      <c r="T209" s="11" t="inlineStr">
        <is>
          <t>Significant finding</t>
        </is>
      </c>
      <c r="U209" s="12" t="inlineStr">
        <is>
          <t>Severe finding</t>
        </is>
      </c>
      <c r="V209" s="16" t="inlineStr">
        <is>
          <t>No</t>
        </is>
      </c>
      <c r="W209" s="16" t="inlineStr">
        <is>
          <t>No</t>
        </is>
      </c>
      <c r="X209" s="25" t="inlineStr">
        <is>
          <t>U</t>
        </is>
      </c>
    </row>
    <row r="210" ht="16" customHeight="1">
      <c r="A210" s="18" t="n">
        <v>209</v>
      </c>
      <c r="B210" s="18" t="inlineStr">
        <is>
          <t>Spine: Ligaments</t>
        </is>
      </c>
      <c r="C210" t="inlineStr">
        <is>
          <t>MRI Spine: Ligaments</t>
        </is>
      </c>
      <c r="D210" s="18" t="inlineStr">
        <is>
          <t>Normal</t>
        </is>
      </c>
      <c r="E210" s="18" t="n"/>
      <c r="G210" s="18" t="n"/>
      <c r="I210" s="18" t="n"/>
      <c r="K210" s="18" t="inlineStr">
        <is>
          <t>Yes</t>
        </is>
      </c>
      <c r="L210" s="18" t="n"/>
      <c r="M210" s="18" t="n"/>
      <c r="N210" s="21" t="n"/>
      <c r="O210" s="21" t="n"/>
      <c r="P210" s="18" t="inlineStr">
        <is>
          <t>MRI</t>
        </is>
      </c>
      <c r="Q210" s="18" t="inlineStr">
        <is>
          <t>MRI Report</t>
        </is>
      </c>
      <c r="R210" s="9" t="n"/>
      <c r="S210" s="10" t="inlineStr">
        <is>
          <t>—</t>
        </is>
      </c>
      <c r="T210" s="11" t="inlineStr">
        <is>
          <t>—</t>
        </is>
      </c>
      <c r="U210" s="12" t="inlineStr">
        <is>
          <t>—</t>
        </is>
      </c>
      <c r="V210" s="16" t="inlineStr">
        <is>
          <t>No</t>
        </is>
      </c>
      <c r="W210" s="16" t="inlineStr">
        <is>
          <t>No</t>
        </is>
      </c>
      <c r="X210" s="25" t="inlineStr">
        <is>
          <t>U</t>
        </is>
      </c>
    </row>
    <row r="211" ht="16" customHeight="1">
      <c r="A211" s="18" t="n">
        <v>210</v>
      </c>
      <c r="B211" s="18" t="inlineStr">
        <is>
          <t>Marrow signals</t>
        </is>
      </c>
      <c r="C211" t="inlineStr">
        <is>
          <t>MRI: Marrow Signals</t>
        </is>
      </c>
      <c r="D211" s="18" t="inlineStr">
        <is>
          <t>Normal</t>
        </is>
      </c>
      <c r="E211" s="18" t="n"/>
      <c r="G211" s="18" t="n"/>
      <c r="I211" s="18" t="n"/>
      <c r="K211" s="18" t="inlineStr">
        <is>
          <t>Yes</t>
        </is>
      </c>
      <c r="L211" s="18" t="n"/>
      <c r="M211" s="18" t="n"/>
      <c r="N211" s="21" t="n"/>
      <c r="O211" s="21" t="n"/>
      <c r="P211" s="18" t="inlineStr">
        <is>
          <t>MRI</t>
        </is>
      </c>
      <c r="Q211" s="18" t="inlineStr">
        <is>
          <t>MRI Report</t>
        </is>
      </c>
      <c r="R211" s="9" t="inlineStr">
        <is>
          <t>Normal</t>
        </is>
      </c>
      <c r="S211" s="10" t="inlineStr">
        <is>
          <t>Any positive finding</t>
        </is>
      </c>
      <c r="T211" s="11" t="inlineStr">
        <is>
          <t>Significant finding</t>
        </is>
      </c>
      <c r="U211" s="12" t="inlineStr">
        <is>
          <t>Severe finding</t>
        </is>
      </c>
      <c r="V211" s="16" t="inlineStr">
        <is>
          <t>No</t>
        </is>
      </c>
      <c r="W211" s="16" t="inlineStr">
        <is>
          <t>No</t>
        </is>
      </c>
      <c r="X211" s="25" t="inlineStr">
        <is>
          <t>U</t>
        </is>
      </c>
    </row>
    <row r="212" ht="16" customHeight="1">
      <c r="A212" s="18" t="n">
        <v>211</v>
      </c>
      <c r="B212" s="18" t="inlineStr">
        <is>
          <t>Vertebral body alignment</t>
        </is>
      </c>
      <c r="C212" t="inlineStr">
        <is>
          <t>MRI: Vertebral Alignment</t>
        </is>
      </c>
      <c r="D212" s="18" t="inlineStr">
        <is>
          <t>Normal</t>
        </is>
      </c>
      <c r="E212" s="18" t="n"/>
      <c r="G212" s="18" t="n"/>
      <c r="I212" s="18" t="n"/>
      <c r="K212" s="18" t="inlineStr">
        <is>
          <t>Yes</t>
        </is>
      </c>
      <c r="L212" s="18" t="n"/>
      <c r="M212" s="18" t="n"/>
      <c r="N212" s="21" t="n"/>
      <c r="O212" s="21" t="n"/>
      <c r="P212" s="18" t="inlineStr">
        <is>
          <t>MRI</t>
        </is>
      </c>
      <c r="Q212" s="18" t="inlineStr">
        <is>
          <t>MRI Report</t>
        </is>
      </c>
      <c r="R212" s="9" t="inlineStr">
        <is>
          <t>Normal</t>
        </is>
      </c>
      <c r="S212" s="10" t="inlineStr">
        <is>
          <t>Any positive finding</t>
        </is>
      </c>
      <c r="T212" s="11" t="inlineStr">
        <is>
          <t>Significant finding</t>
        </is>
      </c>
      <c r="U212" s="12" t="inlineStr">
        <is>
          <t>Severe finding</t>
        </is>
      </c>
      <c r="V212" s="16" t="inlineStr">
        <is>
          <t>No</t>
        </is>
      </c>
      <c r="W212" s="16" t="inlineStr">
        <is>
          <t>No</t>
        </is>
      </c>
      <c r="X212" s="25" t="inlineStr">
        <is>
          <t>U</t>
        </is>
      </c>
    </row>
    <row r="213" ht="16" customHeight="1">
      <c r="A213" s="18" t="n">
        <v>212</v>
      </c>
      <c r="B213" s="18" t="inlineStr">
        <is>
          <t>Vertebral bodies</t>
        </is>
      </c>
      <c r="C213" t="inlineStr">
        <is>
          <t>MRI: Vertebral Bodies</t>
        </is>
      </c>
      <c r="D213" s="18" t="inlineStr">
        <is>
          <t>Normal</t>
        </is>
      </c>
      <c r="E213" s="18" t="n"/>
      <c r="G213" s="18" t="n"/>
      <c r="I213" s="18" t="n"/>
      <c r="K213" s="18" t="inlineStr">
        <is>
          <t>Yes</t>
        </is>
      </c>
      <c r="L213" s="18" t="n"/>
      <c r="M213" s="18" t="n"/>
      <c r="N213" s="21" t="n"/>
      <c r="O213" s="21" t="n"/>
      <c r="P213" s="18" t="inlineStr">
        <is>
          <t>MRI</t>
        </is>
      </c>
      <c r="Q213" s="18" t="inlineStr">
        <is>
          <t>MRI Report</t>
        </is>
      </c>
      <c r="R213" s="9" t="inlineStr">
        <is>
          <t>Normal</t>
        </is>
      </c>
      <c r="S213" s="10" t="inlineStr">
        <is>
          <t>Any positive finding</t>
        </is>
      </c>
      <c r="T213" s="11" t="inlineStr">
        <is>
          <t>Significant finding</t>
        </is>
      </c>
      <c r="U213" s="12" t="inlineStr">
        <is>
          <t>Severe finding</t>
        </is>
      </c>
      <c r="V213" s="16" t="inlineStr">
        <is>
          <t>No</t>
        </is>
      </c>
      <c r="W213" s="16" t="inlineStr">
        <is>
          <t>No</t>
        </is>
      </c>
      <c r="X213" s="25" t="inlineStr">
        <is>
          <t>U</t>
        </is>
      </c>
    </row>
    <row r="214" ht="16" customHeight="1">
      <c r="A214" s="18" t="n">
        <v>213</v>
      </c>
      <c r="B214" s="18" t="inlineStr">
        <is>
          <t>Spinal canal</t>
        </is>
      </c>
      <c r="C214" t="inlineStr">
        <is>
          <t>MRI: Spinal Canal</t>
        </is>
      </c>
      <c r="D214" s="18" t="inlineStr">
        <is>
          <t>Normal</t>
        </is>
      </c>
      <c r="E214" s="18" t="n"/>
      <c r="G214" s="18" t="n"/>
      <c r="I214" s="18" t="n"/>
      <c r="K214" s="18" t="inlineStr">
        <is>
          <t>Yes</t>
        </is>
      </c>
      <c r="L214" s="18" t="n"/>
      <c r="M214" s="18" t="n"/>
      <c r="N214" s="21" t="n"/>
      <c r="O214" s="21" t="n"/>
      <c r="P214" s="18" t="inlineStr">
        <is>
          <t>MRI</t>
        </is>
      </c>
      <c r="Q214" s="18" t="inlineStr">
        <is>
          <t>MRI Report</t>
        </is>
      </c>
      <c r="R214" s="9" t="inlineStr">
        <is>
          <t>Normal</t>
        </is>
      </c>
      <c r="S214" s="10" t="inlineStr">
        <is>
          <t>Any positive finding</t>
        </is>
      </c>
      <c r="T214" s="11" t="inlineStr">
        <is>
          <t>Significant finding</t>
        </is>
      </c>
      <c r="U214" s="12" t="inlineStr">
        <is>
          <t>Severe finding</t>
        </is>
      </c>
      <c r="V214" s="16" t="inlineStr">
        <is>
          <t>No</t>
        </is>
      </c>
      <c r="W214" s="16" t="inlineStr">
        <is>
          <t>No</t>
        </is>
      </c>
      <c r="X214" s="25" t="inlineStr">
        <is>
          <t>U</t>
        </is>
      </c>
    </row>
    <row r="215" ht="16" customHeight="1">
      <c r="A215" s="18" t="n">
        <v>214</v>
      </c>
      <c r="B215" s="18" t="inlineStr">
        <is>
          <t>Foramina</t>
        </is>
      </c>
      <c r="C215" t="inlineStr">
        <is>
          <t>MRI: Spinal Foramina</t>
        </is>
      </c>
      <c r="D215" s="18" t="inlineStr">
        <is>
          <t>Normal</t>
        </is>
      </c>
      <c r="E215" s="18" t="n"/>
      <c r="G215" s="18" t="n"/>
      <c r="I215" s="18" t="n"/>
      <c r="K215" s="18" t="inlineStr">
        <is>
          <t>Yes</t>
        </is>
      </c>
      <c r="L215" s="18" t="n"/>
      <c r="M215" s="18" t="n"/>
      <c r="N215" s="21" t="n"/>
      <c r="O215" s="21" t="n"/>
      <c r="P215" s="18" t="inlineStr">
        <is>
          <t>MRI</t>
        </is>
      </c>
      <c r="Q215" s="18" t="inlineStr">
        <is>
          <t>MRI Report</t>
        </is>
      </c>
      <c r="R215" s="9" t="inlineStr">
        <is>
          <t>Normal</t>
        </is>
      </c>
      <c r="S215" s="10" t="inlineStr">
        <is>
          <t>Any positive finding</t>
        </is>
      </c>
      <c r="T215" s="11" t="inlineStr">
        <is>
          <t>Significant finding</t>
        </is>
      </c>
      <c r="U215" s="12" t="inlineStr">
        <is>
          <t>Severe finding</t>
        </is>
      </c>
      <c r="V215" s="16" t="inlineStr">
        <is>
          <t>No</t>
        </is>
      </c>
      <c r="W215" s="16" t="inlineStr">
        <is>
          <t>No</t>
        </is>
      </c>
      <c r="X215" s="25" t="inlineStr">
        <is>
          <t>U</t>
        </is>
      </c>
    </row>
    <row r="216" ht="16" customHeight="1">
      <c r="A216" s="18" t="n">
        <v>215</v>
      </c>
      <c r="B216" s="18" t="inlineStr">
        <is>
          <t>Spine: Signal intensities</t>
        </is>
      </c>
      <c r="C216" t="inlineStr">
        <is>
          <t>MRI Spine: Signal Intensities</t>
        </is>
      </c>
      <c r="D216" s="18" t="inlineStr">
        <is>
          <t>Normal</t>
        </is>
      </c>
      <c r="E216" s="18" t="n"/>
      <c r="G216" s="18" t="n"/>
      <c r="I216" s="18" t="n"/>
      <c r="K216" s="18" t="inlineStr">
        <is>
          <t>Yes</t>
        </is>
      </c>
      <c r="L216" s="18" t="n"/>
      <c r="M216" s="18" t="n"/>
      <c r="N216" s="21" t="n"/>
      <c r="O216" s="21" t="n"/>
      <c r="P216" s="18" t="inlineStr">
        <is>
          <t>MRI</t>
        </is>
      </c>
      <c r="Q216" s="18" t="inlineStr">
        <is>
          <t>MRI Report</t>
        </is>
      </c>
      <c r="R216" s="9" t="n"/>
      <c r="S216" s="10" t="inlineStr">
        <is>
          <t>—</t>
        </is>
      </c>
      <c r="T216" s="11" t="inlineStr">
        <is>
          <t>—</t>
        </is>
      </c>
      <c r="U216" s="12" t="inlineStr">
        <is>
          <t>—</t>
        </is>
      </c>
      <c r="V216" s="16" t="inlineStr">
        <is>
          <t>No</t>
        </is>
      </c>
      <c r="W216" s="16" t="inlineStr">
        <is>
          <t>No</t>
        </is>
      </c>
      <c r="X216" s="25" t="inlineStr">
        <is>
          <t>U</t>
        </is>
      </c>
    </row>
    <row r="217" ht="16" customHeight="1">
      <c r="A217" s="18" t="n">
        <v>216</v>
      </c>
      <c r="B217" s="18" t="inlineStr">
        <is>
          <t>Lacrimal glands</t>
        </is>
      </c>
      <c r="C217" t="inlineStr">
        <is>
          <t>MRI: Lacrimal Glands</t>
        </is>
      </c>
      <c r="D217" s="18" t="inlineStr">
        <is>
          <t>Normal</t>
        </is>
      </c>
      <c r="E217" s="18" t="n"/>
      <c r="G217" s="18" t="n"/>
      <c r="H217" t="inlineStr">
        <is>
          <t>Yes</t>
        </is>
      </c>
      <c r="I217" s="18" t="n"/>
      <c r="K217" s="18" t="n"/>
      <c r="L217" s="18" t="n"/>
      <c r="M217" s="18" t="n"/>
      <c r="N217" s="21" t="n"/>
      <c r="O217" s="21" t="n"/>
      <c r="P217" s="18" t="inlineStr">
        <is>
          <t>MRI</t>
        </is>
      </c>
      <c r="Q217" s="18" t="inlineStr">
        <is>
          <t>MRI Report</t>
        </is>
      </c>
      <c r="R217" s="9" t="inlineStr">
        <is>
          <t>Normal</t>
        </is>
      </c>
      <c r="S217" s="10" t="inlineStr">
        <is>
          <t>Any positive finding</t>
        </is>
      </c>
      <c r="T217" s="11" t="inlineStr">
        <is>
          <t>Significant finding</t>
        </is>
      </c>
      <c r="U217" s="12" t="inlineStr">
        <is>
          <t>Severe finding</t>
        </is>
      </c>
      <c r="V217" s="16" t="inlineStr">
        <is>
          <t>No</t>
        </is>
      </c>
      <c r="W217" s="16" t="inlineStr">
        <is>
          <t>No</t>
        </is>
      </c>
      <c r="X217" s="25" t="inlineStr">
        <is>
          <t>U</t>
        </is>
      </c>
    </row>
    <row r="218" ht="16" customHeight="1">
      <c r="A218" s="18" t="n">
        <v>217</v>
      </c>
      <c r="B218" s="18" t="inlineStr">
        <is>
          <t>Orbital fat</t>
        </is>
      </c>
      <c r="C218" t="inlineStr">
        <is>
          <t>MRI: Orbital Fat</t>
        </is>
      </c>
      <c r="D218" s="18" t="inlineStr">
        <is>
          <t>Normal</t>
        </is>
      </c>
      <c r="E218" s="18" t="n"/>
      <c r="G218" s="18" t="n"/>
      <c r="H218" t="inlineStr">
        <is>
          <t>Yes</t>
        </is>
      </c>
      <c r="I218" s="18" t="n"/>
      <c r="K218" s="18" t="n"/>
      <c r="L218" s="18" t="n"/>
      <c r="M218" s="18" t="n"/>
      <c r="N218" s="21" t="n"/>
      <c r="O218" s="21" t="n"/>
      <c r="P218" s="18" t="inlineStr">
        <is>
          <t>MRI</t>
        </is>
      </c>
      <c r="Q218" s="18" t="inlineStr">
        <is>
          <t>MRI Report</t>
        </is>
      </c>
      <c r="R218" s="9" t="inlineStr">
        <is>
          <t>Normal</t>
        </is>
      </c>
      <c r="S218" s="10" t="inlineStr">
        <is>
          <t>Any positive finding</t>
        </is>
      </c>
      <c r="T218" s="11" t="inlineStr">
        <is>
          <t>Significant finding</t>
        </is>
      </c>
      <c r="U218" s="12" t="inlineStr">
        <is>
          <t>Severe finding</t>
        </is>
      </c>
      <c r="V218" s="16" t="inlineStr">
        <is>
          <t>No</t>
        </is>
      </c>
      <c r="W218" s="16" t="inlineStr">
        <is>
          <t>No</t>
        </is>
      </c>
      <c r="X218" s="25" t="inlineStr">
        <is>
          <t>U</t>
        </is>
      </c>
    </row>
    <row r="219" ht="16" customHeight="1">
      <c r="A219" s="18" t="n">
        <v>218</v>
      </c>
      <c r="B219" s="18" t="inlineStr">
        <is>
          <t>Optic nerve</t>
        </is>
      </c>
      <c r="C219" t="inlineStr">
        <is>
          <t>MRI: Optic Nerve</t>
        </is>
      </c>
      <c r="D219" s="18" t="inlineStr">
        <is>
          <t>Normal</t>
        </is>
      </c>
      <c r="E219" s="18" t="n"/>
      <c r="G219" s="18" t="n"/>
      <c r="H219" t="inlineStr">
        <is>
          <t>Yes</t>
        </is>
      </c>
      <c r="I219" s="18" t="n"/>
      <c r="K219" s="18" t="n"/>
      <c r="L219" s="18" t="n"/>
      <c r="M219" s="18" t="n"/>
      <c r="N219" s="21" t="n"/>
      <c r="O219" s="21" t="n"/>
      <c r="P219" s="18" t="inlineStr">
        <is>
          <t>MRI</t>
        </is>
      </c>
      <c r="Q219" s="18" t="inlineStr">
        <is>
          <t>MRI Report</t>
        </is>
      </c>
      <c r="R219" s="9" t="inlineStr">
        <is>
          <t>Normal</t>
        </is>
      </c>
      <c r="S219" s="10" t="inlineStr">
        <is>
          <t>Any positive finding</t>
        </is>
      </c>
      <c r="T219" s="11" t="inlineStr">
        <is>
          <t>Significant finding</t>
        </is>
      </c>
      <c r="U219" s="12" t="inlineStr">
        <is>
          <t>Severe finding</t>
        </is>
      </c>
      <c r="V219" s="16" t="inlineStr">
        <is>
          <t>No</t>
        </is>
      </c>
      <c r="W219" s="16" t="inlineStr">
        <is>
          <t>No</t>
        </is>
      </c>
      <c r="X219" s="25" t="inlineStr">
        <is>
          <t>U</t>
        </is>
      </c>
    </row>
    <row r="220" ht="16" customHeight="1">
      <c r="A220" s="18" t="n">
        <v>219</v>
      </c>
      <c r="B220" s="18" t="inlineStr">
        <is>
          <t>Globes</t>
        </is>
      </c>
      <c r="C220" t="inlineStr">
        <is>
          <t>MRI: Eye Globes</t>
        </is>
      </c>
      <c r="D220" s="18" t="inlineStr">
        <is>
          <t>Normal</t>
        </is>
      </c>
      <c r="E220" s="18" t="n"/>
      <c r="G220" s="18" t="n"/>
      <c r="H220" t="inlineStr">
        <is>
          <t>Yes</t>
        </is>
      </c>
      <c r="I220" s="18" t="n"/>
      <c r="K220" s="18" t="n"/>
      <c r="L220" s="18" t="n"/>
      <c r="M220" s="18" t="n"/>
      <c r="N220" s="21" t="n"/>
      <c r="O220" s="21" t="n"/>
      <c r="P220" s="18" t="inlineStr">
        <is>
          <t>MRI</t>
        </is>
      </c>
      <c r="Q220" s="18" t="inlineStr">
        <is>
          <t>MRI Report</t>
        </is>
      </c>
      <c r="R220" s="9" t="inlineStr">
        <is>
          <t>Normal</t>
        </is>
      </c>
      <c r="S220" s="10" t="inlineStr">
        <is>
          <t>Any positive finding</t>
        </is>
      </c>
      <c r="T220" s="11" t="inlineStr">
        <is>
          <t>Significant finding</t>
        </is>
      </c>
      <c r="U220" s="12" t="inlineStr">
        <is>
          <t>Severe finding</t>
        </is>
      </c>
      <c r="V220" s="16" t="inlineStr">
        <is>
          <t>No</t>
        </is>
      </c>
      <c r="W220" s="16" t="inlineStr">
        <is>
          <t>No</t>
        </is>
      </c>
      <c r="X220" s="25" t="inlineStr">
        <is>
          <t>U</t>
        </is>
      </c>
    </row>
    <row r="221" ht="16" customHeight="1">
      <c r="A221" s="18" t="n">
        <v>220</v>
      </c>
      <c r="B221" s="18" t="inlineStr">
        <is>
          <t>Orbits</t>
        </is>
      </c>
      <c r="C221" t="inlineStr">
        <is>
          <t>MRI: Orbits</t>
        </is>
      </c>
      <c r="D221" s="18" t="inlineStr">
        <is>
          <t>Normal</t>
        </is>
      </c>
      <c r="E221" s="18" t="n"/>
      <c r="G221" s="18" t="n"/>
      <c r="H221" t="inlineStr">
        <is>
          <t>Yes</t>
        </is>
      </c>
      <c r="I221" s="18" t="n"/>
      <c r="K221" s="18" t="n"/>
      <c r="L221" s="18" t="n"/>
      <c r="M221" s="18" t="n"/>
      <c r="N221" s="21" t="n"/>
      <c r="O221" s="21" t="n"/>
      <c r="P221" s="18" t="inlineStr">
        <is>
          <t>MRI</t>
        </is>
      </c>
      <c r="Q221" s="18" t="inlineStr">
        <is>
          <t>MRI Report</t>
        </is>
      </c>
      <c r="R221" s="9" t="inlineStr">
        <is>
          <t>Normal</t>
        </is>
      </c>
      <c r="S221" s="10" t="inlineStr">
        <is>
          <t>Any positive finding</t>
        </is>
      </c>
      <c r="T221" s="11" t="inlineStr">
        <is>
          <t>Significant finding</t>
        </is>
      </c>
      <c r="U221" s="12" t="inlineStr">
        <is>
          <t>Severe finding</t>
        </is>
      </c>
      <c r="V221" s="16" t="inlineStr">
        <is>
          <t>No</t>
        </is>
      </c>
      <c r="W221" s="16" t="inlineStr">
        <is>
          <t>No</t>
        </is>
      </c>
      <c r="X221" s="25" t="inlineStr">
        <is>
          <t>U</t>
        </is>
      </c>
    </row>
    <row r="222" ht="16" customHeight="1">
      <c r="A222" s="18" t="n">
        <v>221</v>
      </c>
      <c r="B222" s="18" t="inlineStr">
        <is>
          <t>Maxillary Sinuses</t>
        </is>
      </c>
      <c r="C222" t="inlineStr">
        <is>
          <t>MRI: Maxillary Sinuses</t>
        </is>
      </c>
      <c r="D222" s="18" t="inlineStr">
        <is>
          <t>Normal</t>
        </is>
      </c>
      <c r="E222" s="18" t="n"/>
      <c r="G222" s="18" t="n"/>
      <c r="H222" t="inlineStr">
        <is>
          <t>Yes</t>
        </is>
      </c>
      <c r="I222" s="18" t="n"/>
      <c r="K222" s="18" t="n"/>
      <c r="L222" s="18" t="n"/>
      <c r="M222" s="18" t="n"/>
      <c r="N222" s="21" t="n"/>
      <c r="O222" s="21" t="n"/>
      <c r="P222" s="18" t="inlineStr">
        <is>
          <t>MRI</t>
        </is>
      </c>
      <c r="Q222" s="18" t="inlineStr">
        <is>
          <t>MRI Report</t>
        </is>
      </c>
      <c r="R222" s="9" t="inlineStr">
        <is>
          <t>Normal</t>
        </is>
      </c>
      <c r="S222" s="10" t="inlineStr">
        <is>
          <t>Any positive finding</t>
        </is>
      </c>
      <c r="T222" s="11" t="inlineStr">
        <is>
          <t>Significant finding</t>
        </is>
      </c>
      <c r="U222" s="12" t="inlineStr">
        <is>
          <t>Severe finding</t>
        </is>
      </c>
      <c r="V222" s="16" t="inlineStr">
        <is>
          <t>No</t>
        </is>
      </c>
      <c r="W222" s="16" t="inlineStr">
        <is>
          <t>No</t>
        </is>
      </c>
      <c r="X222" s="25" t="inlineStr">
        <is>
          <t>U</t>
        </is>
      </c>
    </row>
    <row r="223" ht="16" customHeight="1">
      <c r="A223" s="18" t="n">
        <v>222</v>
      </c>
      <c r="B223" s="18" t="inlineStr">
        <is>
          <t>Frontal Sinuses</t>
        </is>
      </c>
      <c r="C223" t="inlineStr">
        <is>
          <t>MRI: Frontal Sinuses</t>
        </is>
      </c>
      <c r="D223" s="18" t="inlineStr">
        <is>
          <t>Normal</t>
        </is>
      </c>
      <c r="E223" s="18" t="n"/>
      <c r="G223" s="18" t="n"/>
      <c r="H223" t="inlineStr">
        <is>
          <t>Yes</t>
        </is>
      </c>
      <c r="I223" s="18" t="n"/>
      <c r="K223" s="18" t="n"/>
      <c r="L223" s="18" t="n"/>
      <c r="M223" s="18" t="n"/>
      <c r="N223" s="21" t="n"/>
      <c r="O223" s="21" t="n"/>
      <c r="P223" s="18" t="inlineStr">
        <is>
          <t>MRI</t>
        </is>
      </c>
      <c r="Q223" s="18" t="inlineStr">
        <is>
          <t>MRI Report</t>
        </is>
      </c>
      <c r="R223" s="9" t="inlineStr">
        <is>
          <t>Normal</t>
        </is>
      </c>
      <c r="S223" s="10" t="inlineStr">
        <is>
          <t>Any positive finding</t>
        </is>
      </c>
      <c r="T223" s="11" t="inlineStr">
        <is>
          <t>Significant finding</t>
        </is>
      </c>
      <c r="U223" s="12" t="inlineStr">
        <is>
          <t>Severe finding</t>
        </is>
      </c>
      <c r="V223" s="16" t="inlineStr">
        <is>
          <t>No</t>
        </is>
      </c>
      <c r="W223" s="16" t="inlineStr">
        <is>
          <t>No</t>
        </is>
      </c>
      <c r="X223" s="25" t="inlineStr">
        <is>
          <t>U</t>
        </is>
      </c>
    </row>
    <row r="224" ht="16" customHeight="1">
      <c r="A224" s="18" t="n">
        <v>223</v>
      </c>
      <c r="B224" s="18" t="inlineStr">
        <is>
          <t>Paranasal Sinuses</t>
        </is>
      </c>
      <c r="C224" t="inlineStr">
        <is>
          <t>MRI: Paranasal Sinuses</t>
        </is>
      </c>
      <c r="D224" s="18" t="inlineStr">
        <is>
          <t>Normal</t>
        </is>
      </c>
      <c r="E224" s="18" t="n"/>
      <c r="G224" s="18" t="n"/>
      <c r="H224" t="inlineStr">
        <is>
          <t>Yes</t>
        </is>
      </c>
      <c r="I224" s="18" t="n"/>
      <c r="K224" s="18" t="n"/>
      <c r="L224" s="18" t="n"/>
      <c r="M224" s="18" t="n"/>
      <c r="N224" s="21" t="n"/>
      <c r="O224" s="21" t="n"/>
      <c r="P224" s="18" t="inlineStr">
        <is>
          <t>MRI</t>
        </is>
      </c>
      <c r="Q224" s="18" t="inlineStr">
        <is>
          <t>MRI Report</t>
        </is>
      </c>
      <c r="R224" s="9" t="inlineStr">
        <is>
          <t>Normal</t>
        </is>
      </c>
      <c r="S224" s="10" t="inlineStr">
        <is>
          <t>Any positive finding</t>
        </is>
      </c>
      <c r="T224" s="11" t="inlineStr">
        <is>
          <t>Significant finding</t>
        </is>
      </c>
      <c r="U224" s="12" t="inlineStr">
        <is>
          <t>Severe finding</t>
        </is>
      </c>
      <c r="V224" s="16" t="inlineStr">
        <is>
          <t>No</t>
        </is>
      </c>
      <c r="W224" s="16" t="inlineStr">
        <is>
          <t>No</t>
        </is>
      </c>
      <c r="X224" s="25" t="inlineStr">
        <is>
          <t>U</t>
        </is>
      </c>
    </row>
    <row r="225" ht="16" customHeight="1">
      <c r="A225" s="18" t="n">
        <v>224</v>
      </c>
      <c r="B225" s="18" t="inlineStr">
        <is>
          <t>Veins</t>
        </is>
      </c>
      <c r="C225" t="inlineStr">
        <is>
          <t>MRI: Cerebral Veins</t>
        </is>
      </c>
      <c r="D225" s="18" t="inlineStr">
        <is>
          <t>Normal</t>
        </is>
      </c>
      <c r="E225" s="18" t="n"/>
      <c r="G225" s="18" t="n"/>
      <c r="H225" t="inlineStr">
        <is>
          <t>Yes</t>
        </is>
      </c>
      <c r="I225" s="18" t="n"/>
      <c r="K225" s="18" t="n"/>
      <c r="L225" s="18" t="n"/>
      <c r="M225" s="18" t="n"/>
      <c r="N225" s="21" t="n"/>
      <c r="O225" s="21" t="n"/>
      <c r="P225" s="18" t="inlineStr">
        <is>
          <t>MRI</t>
        </is>
      </c>
      <c r="Q225" s="18" t="inlineStr">
        <is>
          <t>MRI Report</t>
        </is>
      </c>
      <c r="R225" s="9" t="inlineStr">
        <is>
          <t>Normal</t>
        </is>
      </c>
      <c r="S225" s="10" t="inlineStr">
        <is>
          <t>Any positive finding</t>
        </is>
      </c>
      <c r="T225" s="11" t="inlineStr">
        <is>
          <t>Significant finding</t>
        </is>
      </c>
      <c r="U225" s="12" t="inlineStr">
        <is>
          <t>Severe finding</t>
        </is>
      </c>
      <c r="V225" s="16" t="inlineStr">
        <is>
          <t>No</t>
        </is>
      </c>
      <c r="W225" s="16" t="inlineStr">
        <is>
          <t>No</t>
        </is>
      </c>
      <c r="X225" s="25" t="inlineStr">
        <is>
          <t>U</t>
        </is>
      </c>
    </row>
    <row r="226" ht="16" customHeight="1">
      <c r="A226" s="18" t="n">
        <v>225</v>
      </c>
      <c r="B226" s="18" t="inlineStr">
        <is>
          <t>Meninges</t>
        </is>
      </c>
      <c r="C226" t="inlineStr">
        <is>
          <t>MRI: Meninges</t>
        </is>
      </c>
      <c r="D226" s="18" t="inlineStr">
        <is>
          <t>Normal</t>
        </is>
      </c>
      <c r="E226" s="18" t="n"/>
      <c r="G226" s="18" t="n"/>
      <c r="H226" t="inlineStr">
        <is>
          <t>Yes</t>
        </is>
      </c>
      <c r="I226" s="18" t="n"/>
      <c r="K226" s="18" t="n"/>
      <c r="L226" s="18" t="n"/>
      <c r="M226" s="18" t="n"/>
      <c r="N226" s="21" t="n"/>
      <c r="O226" s="21" t="n"/>
      <c r="P226" s="18" t="inlineStr">
        <is>
          <t>MRI</t>
        </is>
      </c>
      <c r="Q226" s="18" t="inlineStr">
        <is>
          <t>MRI Report</t>
        </is>
      </c>
      <c r="R226" s="9" t="inlineStr">
        <is>
          <t>Normal</t>
        </is>
      </c>
      <c r="S226" s="10" t="inlineStr">
        <is>
          <t>Any positive finding</t>
        </is>
      </c>
      <c r="T226" s="11" t="inlineStr">
        <is>
          <t>Significant finding</t>
        </is>
      </c>
      <c r="U226" s="12" t="inlineStr">
        <is>
          <t>Severe finding</t>
        </is>
      </c>
      <c r="V226" s="16" t="inlineStr">
        <is>
          <t>No</t>
        </is>
      </c>
      <c r="W226" s="16" t="inlineStr">
        <is>
          <t>No</t>
        </is>
      </c>
      <c r="X226" s="25" t="inlineStr">
        <is>
          <t>U</t>
        </is>
      </c>
    </row>
    <row r="227" ht="16" customHeight="1">
      <c r="A227" s="18" t="n">
        <v>226</v>
      </c>
      <c r="B227" s="18" t="inlineStr">
        <is>
          <t>Pons</t>
        </is>
      </c>
      <c r="C227" t="inlineStr">
        <is>
          <t>MRI: Pons</t>
        </is>
      </c>
      <c r="D227" s="18" t="inlineStr">
        <is>
          <t>Normal</t>
        </is>
      </c>
      <c r="E227" s="18" t="n"/>
      <c r="G227" s="18" t="n"/>
      <c r="H227" t="inlineStr">
        <is>
          <t>Yes</t>
        </is>
      </c>
      <c r="I227" s="18" t="n"/>
      <c r="K227" s="18" t="n"/>
      <c r="L227" s="18" t="n"/>
      <c r="M227" s="18" t="n"/>
      <c r="N227" s="21" t="n"/>
      <c r="O227" s="21" t="n"/>
      <c r="P227" s="18" t="inlineStr">
        <is>
          <t>MRI</t>
        </is>
      </c>
      <c r="Q227" s="18" t="inlineStr">
        <is>
          <t>MRI Report</t>
        </is>
      </c>
      <c r="R227" s="9" t="inlineStr">
        <is>
          <t>Normal</t>
        </is>
      </c>
      <c r="S227" s="10" t="inlineStr">
        <is>
          <t>Any positive finding</t>
        </is>
      </c>
      <c r="T227" s="11" t="inlineStr">
        <is>
          <t>Significant finding</t>
        </is>
      </c>
      <c r="U227" s="12" t="inlineStr">
        <is>
          <t>Severe finding</t>
        </is>
      </c>
      <c r="V227" s="16" t="inlineStr">
        <is>
          <t>No</t>
        </is>
      </c>
      <c r="W227" s="16" t="inlineStr">
        <is>
          <t>No</t>
        </is>
      </c>
      <c r="X227" s="25" t="inlineStr">
        <is>
          <t>U</t>
        </is>
      </c>
    </row>
    <row r="228" ht="16" customHeight="1">
      <c r="A228" s="18" t="n">
        <v>227</v>
      </c>
      <c r="B228" s="18" t="inlineStr">
        <is>
          <t>Midbrain</t>
        </is>
      </c>
      <c r="C228" t="inlineStr">
        <is>
          <t>MRI: Midbrain</t>
        </is>
      </c>
      <c r="D228" s="18" t="inlineStr">
        <is>
          <t>Normal</t>
        </is>
      </c>
      <c r="E228" s="18" t="n"/>
      <c r="G228" s="18" t="n"/>
      <c r="H228" t="inlineStr">
        <is>
          <t>Yes</t>
        </is>
      </c>
      <c r="I228" s="18" t="n"/>
      <c r="K228" s="18" t="n"/>
      <c r="L228" s="18" t="n"/>
      <c r="M228" s="18" t="n"/>
      <c r="N228" s="21" t="n"/>
      <c r="O228" s="21" t="n"/>
      <c r="P228" s="18" t="inlineStr">
        <is>
          <t>MRI</t>
        </is>
      </c>
      <c r="Q228" s="18" t="inlineStr">
        <is>
          <t>MRI Report</t>
        </is>
      </c>
      <c r="R228" s="9" t="inlineStr">
        <is>
          <t>Normal</t>
        </is>
      </c>
      <c r="S228" s="10" t="inlineStr">
        <is>
          <t>Any positive finding</t>
        </is>
      </c>
      <c r="T228" s="11" t="inlineStr">
        <is>
          <t>Significant finding</t>
        </is>
      </c>
      <c r="U228" s="12" t="inlineStr">
        <is>
          <t>Severe finding</t>
        </is>
      </c>
      <c r="V228" s="16" t="inlineStr">
        <is>
          <t>No</t>
        </is>
      </c>
      <c r="W228" s="16" t="inlineStr">
        <is>
          <t>No</t>
        </is>
      </c>
      <c r="X228" s="25" t="inlineStr">
        <is>
          <t>U</t>
        </is>
      </c>
    </row>
    <row r="229" ht="16" customHeight="1">
      <c r="A229" s="18" t="n">
        <v>228</v>
      </c>
      <c r="B229" s="18" t="inlineStr">
        <is>
          <t>Ventricles</t>
        </is>
      </c>
      <c r="C229" t="inlineStr">
        <is>
          <t>MRI: Cerebral Ventricles</t>
        </is>
      </c>
      <c r="D229" s="18" t="inlineStr">
        <is>
          <t>Normal</t>
        </is>
      </c>
      <c r="E229" s="18" t="n"/>
      <c r="G229" s="18" t="n"/>
      <c r="H229" t="inlineStr">
        <is>
          <t>Yes</t>
        </is>
      </c>
      <c r="I229" s="18" t="n"/>
      <c r="K229" s="18" t="n"/>
      <c r="L229" s="18" t="n"/>
      <c r="M229" s="18" t="n"/>
      <c r="N229" s="21" t="n"/>
      <c r="O229" s="21" t="n"/>
      <c r="P229" s="18" t="inlineStr">
        <is>
          <t>MRI</t>
        </is>
      </c>
      <c r="Q229" s="18" t="inlineStr">
        <is>
          <t>MRI Report</t>
        </is>
      </c>
      <c r="R229" s="9" t="inlineStr">
        <is>
          <t>Normal</t>
        </is>
      </c>
      <c r="S229" s="10" t="inlineStr">
        <is>
          <t>Any positive finding</t>
        </is>
      </c>
      <c r="T229" s="11" t="inlineStr">
        <is>
          <t>Significant finding</t>
        </is>
      </c>
      <c r="U229" s="12" t="inlineStr">
        <is>
          <t>Severe finding</t>
        </is>
      </c>
      <c r="V229" s="16" t="inlineStr">
        <is>
          <t>No</t>
        </is>
      </c>
      <c r="W229" s="16" t="inlineStr">
        <is>
          <t>No</t>
        </is>
      </c>
      <c r="X229" s="25" t="inlineStr">
        <is>
          <t>U</t>
        </is>
      </c>
    </row>
    <row r="230" ht="16" customHeight="1">
      <c r="A230" s="18" t="n">
        <v>229</v>
      </c>
      <c r="B230" s="18" t="inlineStr">
        <is>
          <t>Basal Ganglia</t>
        </is>
      </c>
      <c r="C230" t="inlineStr">
        <is>
          <t>MRI: Basal Ganglia</t>
        </is>
      </c>
      <c r="D230" s="18" t="inlineStr">
        <is>
          <t>Normal</t>
        </is>
      </c>
      <c r="E230" s="18" t="n"/>
      <c r="G230" s="18" t="n"/>
      <c r="H230" t="inlineStr">
        <is>
          <t>Yes</t>
        </is>
      </c>
      <c r="I230" s="18" t="n"/>
      <c r="K230" s="18" t="n"/>
      <c r="L230" s="18" t="n"/>
      <c r="M230" s="18" t="n"/>
      <c r="N230" s="21" t="n"/>
      <c r="O230" s="21" t="n"/>
      <c r="P230" s="18" t="inlineStr">
        <is>
          <t>MRI</t>
        </is>
      </c>
      <c r="Q230" s="18" t="inlineStr">
        <is>
          <t>MRI Report</t>
        </is>
      </c>
      <c r="R230" s="9" t="inlineStr">
        <is>
          <t>Normal</t>
        </is>
      </c>
      <c r="S230" s="10" t="inlineStr">
        <is>
          <t>Any positive finding</t>
        </is>
      </c>
      <c r="T230" s="11" t="inlineStr">
        <is>
          <t>Significant finding</t>
        </is>
      </c>
      <c r="U230" s="12" t="inlineStr">
        <is>
          <t>Severe finding</t>
        </is>
      </c>
      <c r="V230" s="16" t="inlineStr">
        <is>
          <t>No</t>
        </is>
      </c>
      <c r="W230" s="16" t="inlineStr">
        <is>
          <t>No</t>
        </is>
      </c>
      <c r="X230" s="25" t="inlineStr">
        <is>
          <t>U</t>
        </is>
      </c>
    </row>
    <row r="231" ht="16" customHeight="1">
      <c r="A231" s="18" t="n">
        <v>230</v>
      </c>
      <c r="B231" s="18" t="inlineStr">
        <is>
          <t>Heart Rate</t>
        </is>
      </c>
      <c r="C231" t="inlineStr">
        <is>
          <t>ECG: Heart Rate</t>
        </is>
      </c>
      <c r="D231" s="18" t="inlineStr">
        <is>
          <t>Normal</t>
        </is>
      </c>
      <c r="E231" s="18" t="inlineStr">
        <is>
          <t>Yes</t>
        </is>
      </c>
      <c r="G231" s="18" t="n"/>
      <c r="I231" s="18" t="n"/>
      <c r="K231" s="18" t="n"/>
      <c r="L231" s="18" t="n"/>
      <c r="M231" s="18" t="n"/>
      <c r="N231" s="21" t="n"/>
      <c r="O231" s="21" t="n"/>
      <c r="P231" s="18" t="inlineStr">
        <is>
          <t>ECG</t>
        </is>
      </c>
      <c r="Q231" s="18" t="inlineStr">
        <is>
          <t>ECG Report</t>
        </is>
      </c>
      <c r="R231" s="9" t="inlineStr">
        <is>
          <t>60.0 – 100.0</t>
        </is>
      </c>
      <c r="S231" s="10" t="inlineStr">
        <is>
          <t>48.0 – 60.0  or  100.0 – 112.0</t>
        </is>
      </c>
      <c r="T231" s="11" t="inlineStr">
        <is>
          <t>20.0 – 48.0  or  112.0 – 140.0</t>
        </is>
      </c>
      <c r="U231" s="12" t="inlineStr">
        <is>
          <t>&lt; 20.0  or  &gt; 140.0</t>
        </is>
      </c>
      <c r="V231" s="13" t="inlineStr">
        <is>
          <t>Yes</t>
        </is>
      </c>
      <c r="W231" s="16" t="inlineStr">
        <is>
          <t>No</t>
        </is>
      </c>
      <c r="X231" s="25" t="inlineStr">
        <is>
          <t>U</t>
        </is>
      </c>
    </row>
    <row r="232" ht="16" customHeight="1">
      <c r="A232" s="18" t="n">
        <v>231</v>
      </c>
      <c r="B232" s="18" t="inlineStr">
        <is>
          <t>QT Interval (QTc)</t>
        </is>
      </c>
      <c r="C232" t="inlineStr">
        <is>
          <t>ECG: Corrected QT Interval</t>
        </is>
      </c>
      <c r="D232" s="18" t="inlineStr">
        <is>
          <t>Normal</t>
        </is>
      </c>
      <c r="E232" s="18" t="inlineStr">
        <is>
          <t>Yes</t>
        </is>
      </c>
      <c r="G232" s="18" t="n"/>
      <c r="I232" s="18" t="n"/>
      <c r="K232" s="18" t="n"/>
      <c r="L232" s="18" t="n"/>
      <c r="M232" s="18" t="n"/>
      <c r="N232" s="21" t="n"/>
      <c r="O232" s="21" t="n"/>
      <c r="P232" s="18" t="inlineStr">
        <is>
          <t>ECG</t>
        </is>
      </c>
      <c r="Q232" s="18" t="inlineStr">
        <is>
          <t>ECG Report</t>
        </is>
      </c>
      <c r="R232" s="9" t="inlineStr">
        <is>
          <t>≤ 440.0</t>
        </is>
      </c>
      <c r="S232" s="10" t="inlineStr">
        <is>
          <t>440.0 – 528.0</t>
        </is>
      </c>
      <c r="T232" s="11" t="inlineStr">
        <is>
          <t>528.0 – 770.0</t>
        </is>
      </c>
      <c r="U232" s="12" t="inlineStr">
        <is>
          <t>&gt; 770.0</t>
        </is>
      </c>
      <c r="V232" s="13" t="inlineStr">
        <is>
          <t>Yes</t>
        </is>
      </c>
      <c r="W232" s="16" t="inlineStr">
        <is>
          <t>No</t>
        </is>
      </c>
      <c r="X232" s="25" t="inlineStr">
        <is>
          <t>U</t>
        </is>
      </c>
    </row>
    <row r="233" ht="16" customHeight="1">
      <c r="A233" s="18" t="n">
        <v>232</v>
      </c>
      <c r="B233" s="18" t="inlineStr">
        <is>
          <t>Rhythm</t>
        </is>
      </c>
      <c r="C233" t="inlineStr">
        <is>
          <t>ECG: Cardiac Rhythm</t>
        </is>
      </c>
      <c r="D233" s="18" t="inlineStr">
        <is>
          <t>Normal</t>
        </is>
      </c>
      <c r="E233" s="18" t="inlineStr">
        <is>
          <t>Yes</t>
        </is>
      </c>
      <c r="G233" s="18" t="n"/>
      <c r="I233" s="18" t="n"/>
      <c r="K233" s="18" t="n"/>
      <c r="L233" s="18" t="n"/>
      <c r="M233" s="18" t="n"/>
      <c r="N233" s="21" t="n"/>
      <c r="O233" s="21" t="n"/>
      <c r="P233" s="18" t="inlineStr">
        <is>
          <t>ECG</t>
        </is>
      </c>
      <c r="Q233" s="18" t="inlineStr">
        <is>
          <t>ECG Report</t>
        </is>
      </c>
      <c r="R233" s="9" t="inlineStr">
        <is>
          <t>Sinus Rhythm</t>
        </is>
      </c>
      <c r="S233" s="10" t="inlineStr">
        <is>
          <t>Any positive finding</t>
        </is>
      </c>
      <c r="T233" s="11" t="inlineStr">
        <is>
          <t>Significant finding</t>
        </is>
      </c>
      <c r="U233" s="12" t="inlineStr">
        <is>
          <t>Severe finding</t>
        </is>
      </c>
      <c r="V233" s="16" t="inlineStr">
        <is>
          <t>No</t>
        </is>
      </c>
      <c r="W233" s="16" t="inlineStr">
        <is>
          <t>No</t>
        </is>
      </c>
      <c r="X233" s="25" t="inlineStr">
        <is>
          <t>U</t>
        </is>
      </c>
    </row>
    <row r="234" ht="16" customHeight="1">
      <c r="A234" s="18" t="n">
        <v>233</v>
      </c>
      <c r="B234" s="18" t="inlineStr">
        <is>
          <t>QRS Duration</t>
        </is>
      </c>
      <c r="C234" t="inlineStr">
        <is>
          <t>Ventricular Conduction</t>
        </is>
      </c>
      <c r="D234" s="18" t="inlineStr">
        <is>
          <t>Normal</t>
        </is>
      </c>
      <c r="E234" s="18" t="inlineStr">
        <is>
          <t>Yes</t>
        </is>
      </c>
      <c r="G234" s="18" t="n"/>
      <c r="I234" s="18" t="n"/>
      <c r="K234" s="18" t="n"/>
      <c r="L234" s="18" t="n"/>
      <c r="M234" s="18" t="n"/>
      <c r="N234" s="21" t="n"/>
      <c r="O234" s="21" t="n"/>
      <c r="P234" s="18" t="inlineStr">
        <is>
          <t>ECG</t>
        </is>
      </c>
      <c r="Q234" s="18" t="inlineStr">
        <is>
          <t>ECG Report</t>
        </is>
      </c>
      <c r="R234" s="9" t="inlineStr">
        <is>
          <t>≤ 120.0</t>
        </is>
      </c>
      <c r="S234" s="10" t="inlineStr">
        <is>
          <t>120.0 – 144.0</t>
        </is>
      </c>
      <c r="T234" s="11" t="inlineStr">
        <is>
          <t>144.0 – 210.0</t>
        </is>
      </c>
      <c r="U234" s="12" t="inlineStr">
        <is>
          <t>&gt; 210.0</t>
        </is>
      </c>
      <c r="V234" s="16" t="inlineStr">
        <is>
          <t>No</t>
        </is>
      </c>
      <c r="W234" s="16" t="inlineStr">
        <is>
          <t>No</t>
        </is>
      </c>
      <c r="X234" s="25" t="inlineStr">
        <is>
          <t>U</t>
        </is>
      </c>
    </row>
    <row r="235" ht="16" customHeight="1">
      <c r="A235" s="18" t="n">
        <v>234</v>
      </c>
      <c r="B235" s="18" t="inlineStr">
        <is>
          <t>PR Interval</t>
        </is>
      </c>
      <c r="C235" t="inlineStr">
        <is>
          <t>Heart Conduction</t>
        </is>
      </c>
      <c r="D235" s="18" t="inlineStr">
        <is>
          <t>Normal</t>
        </is>
      </c>
      <c r="E235" s="18" t="inlineStr">
        <is>
          <t>Yes</t>
        </is>
      </c>
      <c r="G235" s="18" t="n"/>
      <c r="I235" s="18" t="n"/>
      <c r="K235" s="18" t="n"/>
      <c r="L235" s="18" t="n"/>
      <c r="M235" s="18" t="n"/>
      <c r="N235" s="21" t="n"/>
      <c r="O235" s="21" t="n"/>
      <c r="P235" s="18" t="inlineStr">
        <is>
          <t>ECG</t>
        </is>
      </c>
      <c r="Q235" s="18" t="inlineStr">
        <is>
          <t>ECG Report</t>
        </is>
      </c>
      <c r="R235" s="9" t="inlineStr">
        <is>
          <t>120.0 – 200.0</t>
        </is>
      </c>
      <c r="S235" s="10" t="inlineStr">
        <is>
          <t>96.0 – 120.0  or  200.0 – 224.0</t>
        </is>
      </c>
      <c r="T235" s="11" t="inlineStr">
        <is>
          <t>40.0 – 96.0  or  224.0 – 280.0</t>
        </is>
      </c>
      <c r="U235" s="12" t="inlineStr">
        <is>
          <t>&lt; 40.0  or  &gt; 280.0</t>
        </is>
      </c>
      <c r="V235" s="13" t="inlineStr">
        <is>
          <t>Yes</t>
        </is>
      </c>
      <c r="W235" s="16" t="inlineStr">
        <is>
          <t>No</t>
        </is>
      </c>
      <c r="X235" s="25" t="inlineStr">
        <is>
          <t>U</t>
        </is>
      </c>
    </row>
    <row r="236" ht="16" customHeight="1">
      <c r="A236" s="19" t="n">
        <v>235</v>
      </c>
      <c r="B236" s="19" t="inlineStr">
        <is>
          <t>ApoA1</t>
        </is>
      </c>
      <c r="C236" t="inlineStr">
        <is>
          <t>Protective Lipoprotein Carrier</t>
        </is>
      </c>
      <c r="D236" s="19" t="inlineStr">
        <is>
          <t>Normal</t>
        </is>
      </c>
      <c r="E236" s="19" t="inlineStr">
        <is>
          <t>Yes</t>
        </is>
      </c>
      <c r="G236" s="19" t="n"/>
      <c r="I236" s="19" t="n"/>
      <c r="K236" s="19" t="n"/>
      <c r="L236" s="19" t="n"/>
      <c r="M236" s="19" t="n"/>
      <c r="N236" s="21" t="n"/>
      <c r="O236" s="21" t="n"/>
      <c r="P236" s="19" t="inlineStr">
        <is>
          <t>Blood Test</t>
        </is>
      </c>
      <c r="Q236" s="19" t="inlineStr">
        <is>
          <t>Blood Report</t>
        </is>
      </c>
      <c r="R236" s="9" t="inlineStr">
        <is>
          <t>120.0 – 160.0</t>
        </is>
      </c>
      <c r="S236" s="10" t="inlineStr">
        <is>
          <t>108.0 – 120.0  or  160.0 – 172.0</t>
        </is>
      </c>
      <c r="T236" s="11" t="inlineStr">
        <is>
          <t>80.0 – 108.0  or  172.0 – 200.0</t>
        </is>
      </c>
      <c r="U236" s="12" t="inlineStr">
        <is>
          <t>&lt; 80.0  or  &gt; 200.0</t>
        </is>
      </c>
      <c r="V236" s="16" t="inlineStr">
        <is>
          <t>No</t>
        </is>
      </c>
      <c r="W236" s="14" t="inlineStr">
        <is>
          <t>Yes</t>
        </is>
      </c>
      <c r="X236" s="25" t="inlineStr">
        <is>
          <t>U</t>
        </is>
      </c>
    </row>
    <row r="237" ht="16" customHeight="1">
      <c r="A237" s="19" t="n">
        <v>236</v>
      </c>
      <c r="B237" s="19" t="inlineStr">
        <is>
          <t>C-Peptide</t>
        </is>
      </c>
      <c r="C237" t="inlineStr">
        <is>
          <t>Insulin Reserve Marker</t>
        </is>
      </c>
      <c r="D237" s="19" t="inlineStr">
        <is>
          <t>Normal</t>
        </is>
      </c>
      <c r="E237" s="19" t="n"/>
      <c r="F237" t="inlineStr">
        <is>
          <t>Yes</t>
        </is>
      </c>
      <c r="G237" s="19" t="n"/>
      <c r="I237" s="19" t="n"/>
      <c r="K237" s="19" t="n"/>
      <c r="L237" s="19" t="n"/>
      <c r="M237" s="19" t="n"/>
      <c r="N237" s="21" t="n"/>
      <c r="O237" s="21" t="n"/>
      <c r="P237" s="19" t="inlineStr">
        <is>
          <t>Blood Test</t>
        </is>
      </c>
      <c r="Q237" s="19" t="inlineStr">
        <is>
          <t>Blood Report</t>
        </is>
      </c>
      <c r="R237" s="9" t="inlineStr">
        <is>
          <t>0.8 – 3.5</t>
        </is>
      </c>
      <c r="S237" s="10" t="inlineStr">
        <is>
          <t>-0.01 – 0.8  or  3.5 – 4.31</t>
        </is>
      </c>
      <c r="T237" s="11" t="inlineStr">
        <is>
          <t>-1.9 – -0.01  or  4.31 – 6.2</t>
        </is>
      </c>
      <c r="U237" s="12" t="inlineStr">
        <is>
          <t>&lt; -1.9  or  &gt; 6.2</t>
        </is>
      </c>
      <c r="V237" s="16" t="inlineStr">
        <is>
          <t>No</t>
        </is>
      </c>
      <c r="W237" s="14" t="inlineStr">
        <is>
          <t>Yes</t>
        </is>
      </c>
      <c r="X237" s="25" t="inlineStr">
        <is>
          <t>U</t>
        </is>
      </c>
    </row>
    <row r="238" ht="16" customHeight="1">
      <c r="A238" s="19" t="n">
        <v>237</v>
      </c>
      <c r="B238" s="19" t="inlineStr">
        <is>
          <t>Fibrinogen</t>
        </is>
      </c>
      <c r="C238" t="inlineStr">
        <is>
          <t>Clotting &amp; Inflammation Marker</t>
        </is>
      </c>
      <c r="D238" s="19" t="inlineStr">
        <is>
          <t>Normal</t>
        </is>
      </c>
      <c r="E238" s="19" t="n"/>
      <c r="G238" s="19" t="n"/>
      <c r="I238" s="19" t="n"/>
      <c r="K238" s="19" t="n"/>
      <c r="L238" s="19" t="n"/>
      <c r="M238" s="19" t="inlineStr">
        <is>
          <t>Yes</t>
        </is>
      </c>
      <c r="N238" s="21" t="n"/>
      <c r="O238" s="21" t="n"/>
      <c r="P238" s="19" t="inlineStr">
        <is>
          <t>Blood Test</t>
        </is>
      </c>
      <c r="Q238" s="19" t="inlineStr">
        <is>
          <t>Blood Report</t>
        </is>
      </c>
      <c r="R238" s="9" t="inlineStr">
        <is>
          <t>200.0 – 400.0</t>
        </is>
      </c>
      <c r="S238" s="10" t="inlineStr">
        <is>
          <t>140.0 – 200.0  or  400.0 – 460.0</t>
        </is>
      </c>
      <c r="T238" s="11" t="inlineStr">
        <is>
          <t>0.0 – 140.0  or  460.0 – 600.0</t>
        </is>
      </c>
      <c r="U238" s="12" t="inlineStr">
        <is>
          <t>&lt; 0.0  or  &gt; 600.0</t>
        </is>
      </c>
      <c r="V238" s="13" t="inlineStr">
        <is>
          <t>Yes</t>
        </is>
      </c>
      <c r="W238" s="14" t="inlineStr">
        <is>
          <t>Yes</t>
        </is>
      </c>
      <c r="X238" s="25" t="inlineStr">
        <is>
          <t>U</t>
        </is>
      </c>
    </row>
    <row r="239" ht="16" customHeight="1">
      <c r="A239" s="19" t="n">
        <v>238</v>
      </c>
      <c r="B239" s="19" t="inlineStr">
        <is>
          <t>ESR</t>
        </is>
      </c>
      <c r="C239" t="inlineStr">
        <is>
          <t>Inflammation Screen</t>
        </is>
      </c>
      <c r="D239" s="19" t="inlineStr">
        <is>
          <t>Normal</t>
        </is>
      </c>
      <c r="E239" s="19" t="n"/>
      <c r="G239" s="19" t="n"/>
      <c r="I239" s="19" t="n"/>
      <c r="J239" t="inlineStr">
        <is>
          <t>Yes</t>
        </is>
      </c>
      <c r="K239" s="19" t="n"/>
      <c r="L239" s="19" t="n"/>
      <c r="M239" s="19" t="n"/>
      <c r="N239" s="21" t="n"/>
      <c r="O239" s="21" t="n"/>
      <c r="P239" s="19" t="inlineStr">
        <is>
          <t>Blood Test</t>
        </is>
      </c>
      <c r="Q239" s="19" t="inlineStr">
        <is>
          <t>Blood Report</t>
        </is>
      </c>
      <c r="R239" s="9" t="inlineStr">
        <is>
          <t>0.0 – 20.0</t>
        </is>
      </c>
      <c r="S239" s="10" t="inlineStr">
        <is>
          <t>-6.0 – 0.0  or  20.0 – 26.0</t>
        </is>
      </c>
      <c r="T239" s="11" t="inlineStr">
        <is>
          <t>-20.0 – -6.0  or  26.0 – 40.0</t>
        </is>
      </c>
      <c r="U239" s="12" t="inlineStr">
        <is>
          <t>&lt; -20.0  or  &gt; 40.0</t>
        </is>
      </c>
      <c r="V239" s="13" t="inlineStr">
        <is>
          <t>Yes</t>
        </is>
      </c>
      <c r="W239" s="14" t="inlineStr">
        <is>
          <t>Yes</t>
        </is>
      </c>
      <c r="X239" s="25" t="inlineStr">
        <is>
          <t>U</t>
        </is>
      </c>
    </row>
    <row r="240" ht="16" customHeight="1">
      <c r="A240" s="19" t="n">
        <v>239</v>
      </c>
      <c r="B240" s="19" t="inlineStr">
        <is>
          <t>NT-proBNP</t>
        </is>
      </c>
      <c r="C240" t="inlineStr">
        <is>
          <t>Heart Stress Marker</t>
        </is>
      </c>
      <c r="D240" s="19" t="inlineStr">
        <is>
          <t>Normal</t>
        </is>
      </c>
      <c r="E240" s="19" t="inlineStr">
        <is>
          <t>Yes</t>
        </is>
      </c>
      <c r="G240" s="19" t="n"/>
      <c r="I240" s="19" t="n"/>
      <c r="K240" s="19" t="n"/>
      <c r="L240" s="19" t="n"/>
      <c r="M240" s="19" t="n"/>
      <c r="N240" s="21" t="n"/>
      <c r="O240" s="21" t="n"/>
      <c r="P240" s="19" t="inlineStr">
        <is>
          <t>Blood Test</t>
        </is>
      </c>
      <c r="Q240" s="19" t="inlineStr">
        <is>
          <t>Blood Report</t>
        </is>
      </c>
      <c r="R240" s="9" t="inlineStr">
        <is>
          <t>≤ 125.0</t>
        </is>
      </c>
      <c r="S240" s="10" t="inlineStr">
        <is>
          <t>125.0 – 150.0</t>
        </is>
      </c>
      <c r="T240" s="11" t="inlineStr">
        <is>
          <t>150.0 – 218.75</t>
        </is>
      </c>
      <c r="U240" s="12" t="inlineStr">
        <is>
          <t>&gt; 218.75</t>
        </is>
      </c>
      <c r="V240" s="13" t="inlineStr">
        <is>
          <t>Yes</t>
        </is>
      </c>
      <c r="W240" s="14" t="inlineStr">
        <is>
          <t>Yes</t>
        </is>
      </c>
      <c r="X240" s="25" t="inlineStr">
        <is>
          <t>U</t>
        </is>
      </c>
    </row>
    <row r="241" ht="16" customHeight="1">
      <c r="A241" s="19" t="n">
        <v>240</v>
      </c>
      <c r="B241" s="19" t="inlineStr">
        <is>
          <t>Free Testosterone</t>
        </is>
      </c>
      <c r="C241" t="inlineStr">
        <is>
          <t>Bioavailable Testosterone</t>
        </is>
      </c>
      <c r="D241" s="19" t="inlineStr">
        <is>
          <t>Normal</t>
        </is>
      </c>
      <c r="E241" s="19" t="n"/>
      <c r="G241" s="19" t="n"/>
      <c r="I241" s="19" t="n"/>
      <c r="K241" s="19" t="n"/>
      <c r="L241" s="19" t="n"/>
      <c r="M241" s="19" t="n"/>
      <c r="N241" s="21" t="n"/>
      <c r="O241" s="21" t="inlineStr">
        <is>
          <t>Yes</t>
        </is>
      </c>
      <c r="P241" s="19" t="inlineStr">
        <is>
          <t>Blood Test</t>
        </is>
      </c>
      <c r="Q241" s="19" t="inlineStr">
        <is>
          <t>Blood Report</t>
        </is>
      </c>
      <c r="R241" s="9" t="inlineStr">
        <is>
          <t>9.0 – 30.0</t>
        </is>
      </c>
      <c r="S241" s="10" t="inlineStr">
        <is>
          <t>2.7 – 9.0  or  30.0 – 36.3</t>
        </is>
      </c>
      <c r="T241" s="11" t="inlineStr">
        <is>
          <t>-12.0 – 2.7  or  36.3 – 51.0</t>
        </is>
      </c>
      <c r="U241" s="12" t="inlineStr">
        <is>
          <t>&lt; -12.0  or  &gt; 51.0</t>
        </is>
      </c>
      <c r="V241" s="16" t="inlineStr">
        <is>
          <t>No</t>
        </is>
      </c>
      <c r="W241" s="14" t="inlineStr">
        <is>
          <t>Yes</t>
        </is>
      </c>
      <c r="X241" s="25" t="inlineStr">
        <is>
          <t>U</t>
        </is>
      </c>
    </row>
    <row r="242" ht="16" customHeight="1">
      <c r="A242" s="19" t="n">
        <v>241</v>
      </c>
      <c r="B242" s="19" t="inlineStr">
        <is>
          <t>SHBG</t>
        </is>
      </c>
      <c r="C242" t="inlineStr">
        <is>
          <t>Sex Hormone Binding Globulin</t>
        </is>
      </c>
      <c r="D242" s="19" t="inlineStr">
        <is>
          <t>Normal</t>
        </is>
      </c>
      <c r="E242" s="19" t="n"/>
      <c r="G242" s="19" t="n"/>
      <c r="I242" s="19" t="n"/>
      <c r="K242" s="19" t="n"/>
      <c r="L242" s="19" t="n"/>
      <c r="M242" s="19" t="n"/>
      <c r="N242" s="21" t="n"/>
      <c r="O242" s="21" t="inlineStr">
        <is>
          <t>Yes</t>
        </is>
      </c>
      <c r="P242" s="19" t="inlineStr">
        <is>
          <t>Blood Test</t>
        </is>
      </c>
      <c r="Q242" s="19" t="inlineStr">
        <is>
          <t>Blood Report</t>
        </is>
      </c>
      <c r="R242" s="9" t="inlineStr">
        <is>
          <t>10.0 – 57.0</t>
        </is>
      </c>
      <c r="S242" s="10" t="inlineStr">
        <is>
          <t>-4.1 – 10.0  or  57.0 – 71.1</t>
        </is>
      </c>
      <c r="T242" s="11" t="inlineStr">
        <is>
          <t>-37.0 – -4.1  or  71.1 – 104.0</t>
        </is>
      </c>
      <c r="U242" s="12" t="inlineStr">
        <is>
          <t>&lt; -37.0  or  &gt; 104.0</t>
        </is>
      </c>
      <c r="V242" s="16" t="inlineStr">
        <is>
          <t>No</t>
        </is>
      </c>
      <c r="W242" s="14" t="inlineStr">
        <is>
          <t>Yes</t>
        </is>
      </c>
      <c r="X242" s="25" t="inlineStr">
        <is>
          <t>U</t>
        </is>
      </c>
    </row>
    <row r="243" ht="16" customHeight="1">
      <c r="A243" s="19" t="n">
        <v>242</v>
      </c>
      <c r="B243" s="19" t="inlineStr">
        <is>
          <t>Estradiol (E2)</t>
        </is>
      </c>
      <c r="C243" t="inlineStr">
        <is>
          <t>Sex Hormone for Bone &amp; Heart</t>
        </is>
      </c>
      <c r="D243" s="19" t="inlineStr">
        <is>
          <t>Normal</t>
        </is>
      </c>
      <c r="E243" s="19" t="n"/>
      <c r="G243" s="19" t="n"/>
      <c r="I243" s="19" t="n"/>
      <c r="K243" s="19" t="n"/>
      <c r="L243" s="19" t="n"/>
      <c r="M243" s="19" t="n"/>
      <c r="N243" s="21" t="inlineStr">
        <is>
          <t>Yes</t>
        </is>
      </c>
      <c r="O243" s="21" t="n"/>
      <c r="P243" s="19" t="inlineStr">
        <is>
          <t>Blood Test</t>
        </is>
      </c>
      <c r="Q243" s="19" t="inlineStr">
        <is>
          <t>Blood Report</t>
        </is>
      </c>
      <c r="R243" s="9" t="inlineStr">
        <is>
          <t>20.0 – 150.0</t>
        </is>
      </c>
      <c r="S243" s="10" t="inlineStr">
        <is>
          <t>-19.0 – 20.0  or  150.0 – 189.0</t>
        </is>
      </c>
      <c r="T243" s="11" t="inlineStr">
        <is>
          <t>-110.0 – -19.0  or  189.0 – 280.0</t>
        </is>
      </c>
      <c r="U243" s="12" t="inlineStr">
        <is>
          <t>&lt; -110.0  or  &gt; 280.0</t>
        </is>
      </c>
      <c r="V243" s="16" t="inlineStr">
        <is>
          <t>No</t>
        </is>
      </c>
      <c r="W243" s="14" t="inlineStr">
        <is>
          <t>Yes</t>
        </is>
      </c>
      <c r="X243" s="25" t="inlineStr">
        <is>
          <t>U</t>
        </is>
      </c>
    </row>
    <row r="244" ht="16" customHeight="1">
      <c r="A244" s="19" t="n">
        <v>243</v>
      </c>
      <c r="B244" s="19" t="inlineStr">
        <is>
          <t>IGF-1</t>
        </is>
      </c>
      <c r="C244" t="inlineStr">
        <is>
          <t>Growth Hormone Axis Marker</t>
        </is>
      </c>
      <c r="D244" s="19" t="inlineStr">
        <is>
          <t>Normal</t>
        </is>
      </c>
      <c r="E244" s="19" t="n"/>
      <c r="F244" t="inlineStr">
        <is>
          <t>Yes</t>
        </is>
      </c>
      <c r="G244" s="19" t="n"/>
      <c r="I244" s="19" t="n"/>
      <c r="K244" s="19" t="n"/>
      <c r="L244" s="19" t="n"/>
      <c r="M244" s="19" t="n"/>
      <c r="N244" s="21" t="n"/>
      <c r="O244" s="21" t="n"/>
      <c r="P244" s="19" t="inlineStr">
        <is>
          <t>Blood Test</t>
        </is>
      </c>
      <c r="Q244" s="19" t="inlineStr">
        <is>
          <t>Blood Report</t>
        </is>
      </c>
      <c r="R244" s="9" t="inlineStr">
        <is>
          <t>100.0 – 250.0</t>
        </is>
      </c>
      <c r="S244" s="10" t="inlineStr">
        <is>
          <t>55.0 – 100.0  or  250.0 – 295.0</t>
        </is>
      </c>
      <c r="T244" s="11" t="inlineStr">
        <is>
          <t>-50.0 – 55.0  or  295.0 – 400.0</t>
        </is>
      </c>
      <c r="U244" s="12" t="inlineStr">
        <is>
          <t>&lt; -50.0  or  &gt; 400.0</t>
        </is>
      </c>
      <c r="V244" s="16" t="inlineStr">
        <is>
          <t>No</t>
        </is>
      </c>
      <c r="W244" s="14" t="inlineStr">
        <is>
          <t>Yes</t>
        </is>
      </c>
      <c r="X244" s="25" t="inlineStr">
        <is>
          <t>U</t>
        </is>
      </c>
    </row>
    <row r="245" ht="16" customHeight="1">
      <c r="A245" s="19" t="n">
        <v>244</v>
      </c>
      <c r="B245" s="19" t="inlineStr">
        <is>
          <t>Cystatin C</t>
        </is>
      </c>
      <c r="C245" t="inlineStr">
        <is>
          <t>Precise Kidney Filtration Marker</t>
        </is>
      </c>
      <c r="D245" s="19" t="inlineStr">
        <is>
          <t>Normal</t>
        </is>
      </c>
      <c r="E245" s="19" t="n"/>
      <c r="G245" s="19" t="n"/>
      <c r="I245" s="19" t="inlineStr">
        <is>
          <t>Yes</t>
        </is>
      </c>
      <c r="K245" s="19" t="n"/>
      <c r="L245" s="19" t="n"/>
      <c r="M245" s="19" t="n"/>
      <c r="N245" s="21" t="n"/>
      <c r="O245" s="21" t="n"/>
      <c r="P245" s="19" t="inlineStr">
        <is>
          <t>Blood Test</t>
        </is>
      </c>
      <c r="Q245" s="19" t="inlineStr">
        <is>
          <t>Blood Report</t>
        </is>
      </c>
      <c r="R245" s="9" t="inlineStr">
        <is>
          <t>0.5 – 1.0</t>
        </is>
      </c>
      <c r="S245" s="10" t="inlineStr">
        <is>
          <t>0.35 – 0.5  or  1.0 – 1.15</t>
        </is>
      </c>
      <c r="T245" s="11" t="inlineStr">
        <is>
          <t>0.0 – 0.35  or  1.15 – 1.5</t>
        </is>
      </c>
      <c r="U245" s="12" t="inlineStr">
        <is>
          <t>&lt; 0.0  or  &gt; 1.5</t>
        </is>
      </c>
      <c r="V245" s="13" t="inlineStr">
        <is>
          <t>Yes</t>
        </is>
      </c>
      <c r="W245" s="14" t="inlineStr">
        <is>
          <t>Yes</t>
        </is>
      </c>
      <c r="X245" s="25" t="inlineStr">
        <is>
          <t>U</t>
        </is>
      </c>
    </row>
    <row r="246" ht="16" customHeight="1">
      <c r="A246" s="19" t="n">
        <v>245</v>
      </c>
      <c r="B246" s="19" t="inlineStr">
        <is>
          <t>PTH</t>
        </is>
      </c>
      <c r="C246" t="inlineStr">
        <is>
          <t>Parathyroid Hormone</t>
        </is>
      </c>
      <c r="D246" s="19" t="inlineStr">
        <is>
          <t>Normal</t>
        </is>
      </c>
      <c r="E246" s="19" t="n"/>
      <c r="G246" s="19" t="n"/>
      <c r="I246" s="19" t="inlineStr">
        <is>
          <t>Yes</t>
        </is>
      </c>
      <c r="K246" s="19" t="n"/>
      <c r="L246" s="19" t="n"/>
      <c r="M246" s="19" t="n"/>
      <c r="N246" s="21" t="n"/>
      <c r="O246" s="21" t="n"/>
      <c r="P246" s="19" t="inlineStr">
        <is>
          <t>Blood Test</t>
        </is>
      </c>
      <c r="Q246" s="19" t="inlineStr">
        <is>
          <t>Blood Report</t>
        </is>
      </c>
      <c r="R246" s="9" t="inlineStr">
        <is>
          <t>15.0 – 65.0</t>
        </is>
      </c>
      <c r="S246" s="10" t="inlineStr">
        <is>
          <t>0.0 – 15.0  or  65.0 – 80.0</t>
        </is>
      </c>
      <c r="T246" s="11" t="inlineStr">
        <is>
          <t>-35.0 – 0.0  or  80.0 – 115.0</t>
        </is>
      </c>
      <c r="U246" s="12" t="inlineStr">
        <is>
          <t>&lt; -35.0  or  &gt; 115.0</t>
        </is>
      </c>
      <c r="V246" s="16" t="inlineStr">
        <is>
          <t>No</t>
        </is>
      </c>
      <c r="W246" s="14" t="inlineStr">
        <is>
          <t>Yes</t>
        </is>
      </c>
      <c r="X246" s="25" t="inlineStr">
        <is>
          <t>U</t>
        </is>
      </c>
    </row>
    <row r="247" ht="16" customHeight="1">
      <c r="A247" s="19" t="n">
        <v>246</v>
      </c>
      <c r="B247" s="19" t="inlineStr">
        <is>
          <t>Phosphorus</t>
        </is>
      </c>
      <c r="C247" t="inlineStr">
        <is>
          <t>Bone &amp; Energy Mineral</t>
        </is>
      </c>
      <c r="D247" s="19" t="inlineStr">
        <is>
          <t>Normal</t>
        </is>
      </c>
      <c r="E247" s="19" t="n"/>
      <c r="G247" s="19" t="n"/>
      <c r="I247" s="19" t="n"/>
      <c r="K247" s="19" t="inlineStr">
        <is>
          <t>Yes</t>
        </is>
      </c>
      <c r="L247" s="19" t="n"/>
      <c r="M247" s="19" t="n"/>
      <c r="N247" s="21" t="n"/>
      <c r="O247" s="21" t="n"/>
      <c r="P247" s="19" t="inlineStr">
        <is>
          <t>Blood Test</t>
        </is>
      </c>
      <c r="Q247" s="19" t="inlineStr">
        <is>
          <t>Blood Report</t>
        </is>
      </c>
      <c r="R247" s="9" t="inlineStr">
        <is>
          <t>2.5 – 4.5</t>
        </is>
      </c>
      <c r="S247" s="10" t="inlineStr">
        <is>
          <t>1.9 – 2.5  or  4.5 – 5.1</t>
        </is>
      </c>
      <c r="T247" s="11" t="inlineStr">
        <is>
          <t>0.5 – 1.9  or  5.1 – 6.5</t>
        </is>
      </c>
      <c r="U247" s="12" t="inlineStr">
        <is>
          <t>&lt; 0.5  or  &gt; 6.5</t>
        </is>
      </c>
      <c r="V247" s="16" t="inlineStr">
        <is>
          <t>No</t>
        </is>
      </c>
      <c r="W247" s="14" t="inlineStr">
        <is>
          <t>Yes</t>
        </is>
      </c>
      <c r="X247" s="25" t="inlineStr">
        <is>
          <t>U</t>
        </is>
      </c>
    </row>
    <row r="248" ht="16" customHeight="1">
      <c r="A248" s="19" t="n">
        <v>247</v>
      </c>
      <c r="B248" s="19" t="inlineStr">
        <is>
          <t>Vitamin E</t>
        </is>
      </c>
      <c r="C248" t="inlineStr">
        <is>
          <t>Antioxidant Defense</t>
        </is>
      </c>
      <c r="D248" s="19" t="inlineStr">
        <is>
          <t>Normal</t>
        </is>
      </c>
      <c r="E248" s="19" t="n"/>
      <c r="G248" s="19" t="n"/>
      <c r="I248" s="19" t="n"/>
      <c r="J248" t="inlineStr">
        <is>
          <t>Yes</t>
        </is>
      </c>
      <c r="K248" s="19" t="n"/>
      <c r="L248" s="19" t="n"/>
      <c r="M248" s="19" t="n"/>
      <c r="N248" s="21" t="n"/>
      <c r="O248" s="21" t="n"/>
      <c r="P248" s="19" t="inlineStr">
        <is>
          <t>Blood Test</t>
        </is>
      </c>
      <c r="Q248" s="19" t="inlineStr">
        <is>
          <t>Blood Report</t>
        </is>
      </c>
      <c r="R248" s="9" t="inlineStr">
        <is>
          <t>5.5 – 17.0</t>
        </is>
      </c>
      <c r="S248" s="10" t="inlineStr">
        <is>
          <t>2.05 – 5.5  or  17.0 – 20.45</t>
        </is>
      </c>
      <c r="T248" s="11" t="inlineStr">
        <is>
          <t>-6.0 – 2.05  or  20.45 – 28.5</t>
        </is>
      </c>
      <c r="U248" s="12" t="inlineStr">
        <is>
          <t>&lt; -6.0  or  &gt; 28.5</t>
        </is>
      </c>
      <c r="V248" s="16" t="inlineStr">
        <is>
          <t>No</t>
        </is>
      </c>
      <c r="W248" s="16" t="inlineStr">
        <is>
          <t>No</t>
        </is>
      </c>
      <c r="X248" s="25" t="inlineStr">
        <is>
          <t>U</t>
        </is>
      </c>
    </row>
    <row r="249" ht="16" customHeight="1">
      <c r="A249" s="19" t="n">
        <v>248</v>
      </c>
      <c r="B249" s="19" t="inlineStr">
        <is>
          <t>Reverse T3</t>
        </is>
      </c>
      <c r="C249" t="inlineStr">
        <is>
          <t>Inactive Thyroid Hormone</t>
        </is>
      </c>
      <c r="D249" s="19" t="inlineStr">
        <is>
          <t>Normal</t>
        </is>
      </c>
      <c r="E249" s="19" t="n"/>
      <c r="F249" t="inlineStr">
        <is>
          <t>Yes</t>
        </is>
      </c>
      <c r="G249" s="19" t="n"/>
      <c r="I249" s="19" t="n"/>
      <c r="K249" s="19" t="n"/>
      <c r="L249" s="19" t="n"/>
      <c r="M249" s="19" t="n"/>
      <c r="N249" s="21" t="n"/>
      <c r="O249" s="21" t="n"/>
      <c r="P249" s="19" t="inlineStr">
        <is>
          <t>Blood Test</t>
        </is>
      </c>
      <c r="Q249" s="19" t="inlineStr">
        <is>
          <t>Blood Report</t>
        </is>
      </c>
      <c r="R249" s="9" t="inlineStr">
        <is>
          <t>10.0 – 24.0</t>
        </is>
      </c>
      <c r="S249" s="10" t="inlineStr">
        <is>
          <t>5.8 – 10.0  or  24.0 – 28.2</t>
        </is>
      </c>
      <c r="T249" s="11" t="inlineStr">
        <is>
          <t>-4.0 – 5.8  or  28.2 – 38.0</t>
        </is>
      </c>
      <c r="U249" s="12" t="inlineStr">
        <is>
          <t>&lt; -4.0  or  &gt; 38.0</t>
        </is>
      </c>
      <c r="V249" s="16" t="inlineStr">
        <is>
          <t>No</t>
        </is>
      </c>
      <c r="W249" s="14" t="inlineStr">
        <is>
          <t>Yes</t>
        </is>
      </c>
      <c r="X249" s="25" t="inlineStr">
        <is>
          <t>U</t>
        </is>
      </c>
    </row>
    <row r="250" ht="16" customHeight="1">
      <c r="A250" s="19" t="n">
        <v>249</v>
      </c>
      <c r="B250" s="19" t="inlineStr">
        <is>
          <t>LDH</t>
        </is>
      </c>
      <c r="C250" t="inlineStr">
        <is>
          <t>Tissue Damage Marker</t>
        </is>
      </c>
      <c r="D250" s="19" t="inlineStr">
        <is>
          <t>Normal</t>
        </is>
      </c>
      <c r="E250" s="19" t="n"/>
      <c r="G250" s="19" t="n"/>
      <c r="I250" s="19" t="n"/>
      <c r="J250" t="inlineStr">
        <is>
          <t>Yes</t>
        </is>
      </c>
      <c r="K250" s="19" t="n"/>
      <c r="L250" s="19" t="n"/>
      <c r="M250" s="19" t="n"/>
      <c r="N250" s="21" t="n"/>
      <c r="O250" s="21" t="n"/>
      <c r="P250" s="19" t="inlineStr">
        <is>
          <t>Blood Test</t>
        </is>
      </c>
      <c r="Q250" s="19" t="inlineStr">
        <is>
          <t>Blood Report</t>
        </is>
      </c>
      <c r="R250" s="9" t="inlineStr">
        <is>
          <t>140.0 – 280.0</t>
        </is>
      </c>
      <c r="S250" s="10" t="inlineStr">
        <is>
          <t>98.0 – 140.0  or  280.0 – 322.0</t>
        </is>
      </c>
      <c r="T250" s="11" t="inlineStr">
        <is>
          <t>0.0 – 98.0  or  322.0 – 420.0</t>
        </is>
      </c>
      <c r="U250" s="12" t="inlineStr">
        <is>
          <t>&lt; 0.0  or  &gt; 420.0</t>
        </is>
      </c>
      <c r="V250" s="13" t="inlineStr">
        <is>
          <t>Yes</t>
        </is>
      </c>
      <c r="W250" s="14" t="inlineStr">
        <is>
          <t>Yes</t>
        </is>
      </c>
      <c r="X250" s="25" t="inlineStr">
        <is>
          <t>U</t>
        </is>
      </c>
    </row>
    <row r="251" ht="16" customHeight="1">
      <c r="A251" s="19" t="n">
        <v>250</v>
      </c>
      <c r="B251" s="19" t="inlineStr">
        <is>
          <t>D-Dimer</t>
        </is>
      </c>
      <c r="C251" t="inlineStr">
        <is>
          <t>Clotting Activity Marker</t>
        </is>
      </c>
      <c r="D251" s="19" t="inlineStr">
        <is>
          <t>Normal</t>
        </is>
      </c>
      <c r="E251" s="19" t="n"/>
      <c r="G251" s="19" t="n"/>
      <c r="I251" s="19" t="n"/>
      <c r="K251" s="19" t="n"/>
      <c r="L251" s="19" t="n"/>
      <c r="M251" s="19" t="inlineStr">
        <is>
          <t>Yes</t>
        </is>
      </c>
      <c r="N251" s="21" t="n"/>
      <c r="O251" s="21" t="n"/>
      <c r="P251" s="19" t="inlineStr">
        <is>
          <t>Blood Test</t>
        </is>
      </c>
      <c r="Q251" s="19" t="inlineStr">
        <is>
          <t>Blood Report</t>
        </is>
      </c>
      <c r="R251" s="9" t="inlineStr">
        <is>
          <t>≤ 0.5</t>
        </is>
      </c>
      <c r="S251" s="10" t="inlineStr">
        <is>
          <t>0.5 – 0.6</t>
        </is>
      </c>
      <c r="T251" s="11" t="inlineStr">
        <is>
          <t>0.6 – 0.88</t>
        </is>
      </c>
      <c r="U251" s="12" t="inlineStr">
        <is>
          <t>&gt; 0.88</t>
        </is>
      </c>
      <c r="V251" s="13" t="inlineStr">
        <is>
          <t>Yes</t>
        </is>
      </c>
      <c r="W251" s="14" t="inlineStr">
        <is>
          <t>Yes</t>
        </is>
      </c>
      <c r="X251" s="25" t="inlineStr">
        <is>
          <t>U</t>
        </is>
      </c>
    </row>
    <row r="252" ht="16" customHeight="1">
      <c r="A252" s="19" t="n">
        <v>251</v>
      </c>
      <c r="B252" s="19" t="inlineStr">
        <is>
          <t>PT / INR</t>
        </is>
      </c>
      <c r="C252" t="inlineStr">
        <is>
          <t>Blood Clotting Speed</t>
        </is>
      </c>
      <c r="D252" s="19" t="inlineStr">
        <is>
          <t>Normal</t>
        </is>
      </c>
      <c r="E252" s="19" t="n"/>
      <c r="G252" s="19" t="inlineStr">
        <is>
          <t>Yes</t>
        </is>
      </c>
      <c r="I252" s="19" t="n"/>
      <c r="K252" s="19" t="n"/>
      <c r="L252" s="19" t="n"/>
      <c r="M252" s="19" t="n"/>
      <c r="N252" s="21" t="n"/>
      <c r="O252" s="21" t="n"/>
      <c r="P252" s="19" t="inlineStr">
        <is>
          <t>Blood Test</t>
        </is>
      </c>
      <c r="Q252" s="19" t="inlineStr">
        <is>
          <t>Blood Report</t>
        </is>
      </c>
      <c r="R252" s="9" t="inlineStr">
        <is>
          <t>0.8 – 1.1</t>
        </is>
      </c>
      <c r="S252" s="10" t="inlineStr">
        <is>
          <t>0.71 – 0.8  or  1.1 – 1.19</t>
        </is>
      </c>
      <c r="T252" s="11" t="inlineStr">
        <is>
          <t>0.5 – 0.71  or  1.19 – 1.4</t>
        </is>
      </c>
      <c r="U252" s="12" t="inlineStr">
        <is>
          <t>&lt; 0.5  or  &gt; 1.4</t>
        </is>
      </c>
      <c r="V252" s="16" t="inlineStr">
        <is>
          <t>No</t>
        </is>
      </c>
      <c r="W252" s="14" t="inlineStr">
        <is>
          <t>Yes</t>
        </is>
      </c>
      <c r="X252" s="25" t="inlineStr">
        <is>
          <t>U</t>
        </is>
      </c>
    </row>
    <row r="253" ht="16" customHeight="1">
      <c r="A253" s="19" t="n">
        <v>252</v>
      </c>
      <c r="B253" s="19" t="inlineStr">
        <is>
          <t>Anti-TG</t>
        </is>
      </c>
      <c r="C253" t="inlineStr">
        <is>
          <t>Thyroid Autoimmune Marker</t>
        </is>
      </c>
      <c r="D253" s="19" t="inlineStr">
        <is>
          <t>Normal</t>
        </is>
      </c>
      <c r="E253" s="19" t="n"/>
      <c r="F253" t="inlineStr">
        <is>
          <t>Yes</t>
        </is>
      </c>
      <c r="G253" s="19" t="n"/>
      <c r="I253" s="19" t="n"/>
      <c r="K253" s="19" t="n"/>
      <c r="L253" s="19" t="n"/>
      <c r="M253" s="19" t="n"/>
      <c r="N253" s="21" t="n"/>
      <c r="O253" s="21" t="n"/>
      <c r="P253" s="19" t="inlineStr">
        <is>
          <t>Blood Test</t>
        </is>
      </c>
      <c r="Q253" s="19" t="inlineStr">
        <is>
          <t>Blood Report</t>
        </is>
      </c>
      <c r="R253" s="9" t="inlineStr">
        <is>
          <t>≤ 115.0</t>
        </is>
      </c>
      <c r="S253" s="10" t="inlineStr">
        <is>
          <t>115.0 – 138.0</t>
        </is>
      </c>
      <c r="T253" s="11" t="inlineStr">
        <is>
          <t>138.0 – 201.25</t>
        </is>
      </c>
      <c r="U253" s="12" t="inlineStr">
        <is>
          <t>&gt; 201.25</t>
        </is>
      </c>
      <c r="V253" s="16" t="inlineStr">
        <is>
          <t>No</t>
        </is>
      </c>
      <c r="W253" s="14" t="inlineStr">
        <is>
          <t>Yes</t>
        </is>
      </c>
      <c r="X253" s="25" t="inlineStr">
        <is>
          <t>U</t>
        </is>
      </c>
    </row>
    <row r="254" ht="16" customHeight="1">
      <c r="A254" s="19" t="n">
        <v>253</v>
      </c>
      <c r="B254" s="19" t="inlineStr">
        <is>
          <t>AFP</t>
        </is>
      </c>
      <c r="C254" t="inlineStr">
        <is>
          <t>Liver Cancer Screening Marker</t>
        </is>
      </c>
      <c r="D254" s="19" t="inlineStr">
        <is>
          <t>Normal</t>
        </is>
      </c>
      <c r="E254" s="19" t="n"/>
      <c r="G254" s="19" t="inlineStr">
        <is>
          <t>Yes</t>
        </is>
      </c>
      <c r="I254" s="19" t="n"/>
      <c r="K254" s="19" t="n"/>
      <c r="L254" s="19" t="n"/>
      <c r="M254" s="19" t="n"/>
      <c r="N254" s="21" t="n"/>
      <c r="O254" s="21" t="n"/>
      <c r="P254" s="19" t="inlineStr">
        <is>
          <t>Blood Test</t>
        </is>
      </c>
      <c r="Q254" s="19" t="inlineStr">
        <is>
          <t>Blood Report</t>
        </is>
      </c>
      <c r="R254" s="9" t="inlineStr">
        <is>
          <t>≤ 10.0</t>
        </is>
      </c>
      <c r="S254" s="10" t="inlineStr">
        <is>
          <t>10.0 – 12.0</t>
        </is>
      </c>
      <c r="T254" s="11" t="inlineStr">
        <is>
          <t>12.0 – 17.5</t>
        </is>
      </c>
      <c r="U254" s="12" t="inlineStr">
        <is>
          <t>&gt; 17.5</t>
        </is>
      </c>
      <c r="V254" s="16" t="inlineStr">
        <is>
          <t>No</t>
        </is>
      </c>
      <c r="W254" s="16" t="inlineStr">
        <is>
          <t>No</t>
        </is>
      </c>
      <c r="X254" s="25" t="inlineStr">
        <is>
          <t>U</t>
        </is>
      </c>
    </row>
    <row r="255" ht="16" customHeight="1">
      <c r="A255" s="19" t="n">
        <v>254</v>
      </c>
      <c r="B255" s="19" t="inlineStr">
        <is>
          <t>CEA</t>
        </is>
      </c>
      <c r="C255" t="inlineStr">
        <is>
          <t>Colorectal Cancer Marker</t>
        </is>
      </c>
      <c r="D255" s="19" t="inlineStr">
        <is>
          <t>Normal</t>
        </is>
      </c>
      <c r="E255" s="19" t="n"/>
      <c r="G255" s="19" t="inlineStr">
        <is>
          <t>Yes</t>
        </is>
      </c>
      <c r="I255" s="19" t="n"/>
      <c r="K255" s="19" t="n"/>
      <c r="L255" s="19" t="n"/>
      <c r="M255" s="19" t="n"/>
      <c r="N255" s="21" t="n"/>
      <c r="O255" s="21" t="n"/>
      <c r="P255" s="19" t="inlineStr">
        <is>
          <t>Blood Test</t>
        </is>
      </c>
      <c r="Q255" s="19" t="inlineStr">
        <is>
          <t>Blood Report</t>
        </is>
      </c>
      <c r="R255" s="9" t="inlineStr">
        <is>
          <t>≤ 3.0</t>
        </is>
      </c>
      <c r="S255" s="10" t="inlineStr">
        <is>
          <t>3.0 – 3.6</t>
        </is>
      </c>
      <c r="T255" s="11" t="inlineStr">
        <is>
          <t>3.6 – 5.25</t>
        </is>
      </c>
      <c r="U255" s="12" t="inlineStr">
        <is>
          <t>&gt; 5.25</t>
        </is>
      </c>
      <c r="V255" s="16" t="inlineStr">
        <is>
          <t>No</t>
        </is>
      </c>
      <c r="W255" s="16" t="inlineStr">
        <is>
          <t>No</t>
        </is>
      </c>
      <c r="X255" s="25" t="inlineStr">
        <is>
          <t>U</t>
        </is>
      </c>
    </row>
    <row r="256" ht="16" customHeight="1">
      <c r="A256" s="19" t="n">
        <v>255</v>
      </c>
      <c r="B256" s="19" t="inlineStr">
        <is>
          <t>CA-125</t>
        </is>
      </c>
      <c r="C256" t="inlineStr">
        <is>
          <t>Ovarian Cancer Marker</t>
        </is>
      </c>
      <c r="D256" s="19" t="inlineStr">
        <is>
          <t>Normal</t>
        </is>
      </c>
      <c r="E256" s="19" t="n"/>
      <c r="G256" s="19" t="n"/>
      <c r="I256" s="19" t="n"/>
      <c r="K256" s="19" t="n"/>
      <c r="L256" s="19" t="n"/>
      <c r="M256" s="19" t="n"/>
      <c r="N256" s="21" t="inlineStr">
        <is>
          <t>Yes</t>
        </is>
      </c>
      <c r="O256" s="21" t="n"/>
      <c r="P256" s="19" t="inlineStr">
        <is>
          <t>Blood Test</t>
        </is>
      </c>
      <c r="Q256" s="19" t="inlineStr">
        <is>
          <t>Blood Report</t>
        </is>
      </c>
      <c r="R256" s="9" t="inlineStr">
        <is>
          <t>≤ 35.0</t>
        </is>
      </c>
      <c r="S256" s="10" t="inlineStr">
        <is>
          <t>35.0 – 42.0</t>
        </is>
      </c>
      <c r="T256" s="11" t="inlineStr">
        <is>
          <t>42.0 – 61.25</t>
        </is>
      </c>
      <c r="U256" s="12" t="inlineStr">
        <is>
          <t>&gt; 61.25</t>
        </is>
      </c>
      <c r="V256" s="16" t="inlineStr">
        <is>
          <t>No</t>
        </is>
      </c>
      <c r="W256" s="16" t="inlineStr">
        <is>
          <t>No</t>
        </is>
      </c>
      <c r="X256" s="25" t="inlineStr">
        <is>
          <t>U</t>
        </is>
      </c>
    </row>
    <row r="257" ht="16" customHeight="1">
      <c r="A257" s="19" t="n">
        <v>256</v>
      </c>
      <c r="B257" s="19" t="inlineStr">
        <is>
          <t>HOMA-IR</t>
        </is>
      </c>
      <c r="C257" t="inlineStr">
        <is>
          <t>Insulin Resistance Score</t>
        </is>
      </c>
      <c r="D257" s="19" t="inlineStr">
        <is>
          <t>Normal</t>
        </is>
      </c>
      <c r="E257" s="19" t="n"/>
      <c r="F257" t="inlineStr">
        <is>
          <t>Yes</t>
        </is>
      </c>
      <c r="G257" s="19" t="n"/>
      <c r="I257" s="19" t="n"/>
      <c r="K257" s="19" t="n"/>
      <c r="L257" s="19" t="n"/>
      <c r="M257" s="19" t="n"/>
      <c r="N257" s="21" t="n"/>
      <c r="O257" s="21" t="n"/>
      <c r="P257" s="19" t="inlineStr">
        <is>
          <t>Blood Test</t>
        </is>
      </c>
      <c r="Q257" s="19" t="inlineStr">
        <is>
          <t>Blood Report</t>
        </is>
      </c>
      <c r="R257" s="9" t="inlineStr">
        <is>
          <t>≤ 1.5</t>
        </is>
      </c>
      <c r="S257" s="10" t="inlineStr">
        <is>
          <t>1.5 – 1.8</t>
        </is>
      </c>
      <c r="T257" s="11" t="inlineStr">
        <is>
          <t>1.8 – 2.62</t>
        </is>
      </c>
      <c r="U257" s="12" t="inlineStr">
        <is>
          <t>&gt; 2.62</t>
        </is>
      </c>
      <c r="V257" s="13" t="inlineStr">
        <is>
          <t>Yes</t>
        </is>
      </c>
      <c r="W257" s="14" t="inlineStr">
        <is>
          <t>Yes</t>
        </is>
      </c>
      <c r="X257" s="25" t="inlineStr">
        <is>
          <t>U</t>
        </is>
      </c>
    </row>
    <row r="258" ht="16" customHeight="1">
      <c r="A258" s="19" t="n">
        <v>257</v>
      </c>
      <c r="B258" s="19" t="inlineStr">
        <is>
          <t>Carotid CIMT</t>
        </is>
      </c>
      <c r="C258" t="inlineStr">
        <is>
          <t>Artery Wall Thickness / Vascular Age</t>
        </is>
      </c>
      <c r="D258" s="19" t="inlineStr">
        <is>
          <t>Normal</t>
        </is>
      </c>
      <c r="E258" s="19" t="n"/>
      <c r="G258" s="19" t="n"/>
      <c r="I258" s="19" t="n"/>
      <c r="K258" s="19" t="n"/>
      <c r="L258" s="19" t="n"/>
      <c r="M258" s="19" t="inlineStr">
        <is>
          <t>Yes</t>
        </is>
      </c>
      <c r="N258" s="21" t="n"/>
      <c r="O258" s="21" t="n"/>
      <c r="P258" s="19" t="inlineStr">
        <is>
          <t>USG</t>
        </is>
      </c>
      <c r="Q258" s="19" t="inlineStr">
        <is>
          <t>Scan Findings (USG)</t>
        </is>
      </c>
      <c r="R258" s="9" t="inlineStr">
        <is>
          <t>≤ 0.9</t>
        </is>
      </c>
      <c r="S258" s="10" t="inlineStr">
        <is>
          <t>0.9 – 1.08</t>
        </is>
      </c>
      <c r="T258" s="11" t="inlineStr">
        <is>
          <t>1.08 – 1.57</t>
        </is>
      </c>
      <c r="U258" s="12" t="inlineStr">
        <is>
          <t>&gt; 1.57</t>
        </is>
      </c>
      <c r="V258" s="16" t="inlineStr">
        <is>
          <t>No</t>
        </is>
      </c>
      <c r="W258" s="14" t="inlineStr">
        <is>
          <t>Yes</t>
        </is>
      </c>
      <c r="X258" s="25" t="inlineStr">
        <is>
          <t>U</t>
        </is>
      </c>
    </row>
    <row r="259" ht="16" customHeight="1">
      <c r="A259" s="19" t="n">
        <v>258</v>
      </c>
      <c r="B259" s="19" t="inlineStr">
        <is>
          <t>Carotid Plaque Score</t>
        </is>
      </c>
      <c r="C259" t="inlineStr">
        <is>
          <t>Arterial Plaque Burden</t>
        </is>
      </c>
      <c r="D259" s="19" t="inlineStr">
        <is>
          <t>Normal</t>
        </is>
      </c>
      <c r="E259" s="19" t="n"/>
      <c r="G259" s="19" t="n"/>
      <c r="I259" s="19" t="n"/>
      <c r="K259" s="19" t="n"/>
      <c r="L259" s="19" t="n"/>
      <c r="M259" s="19" t="inlineStr">
        <is>
          <t>Yes</t>
        </is>
      </c>
      <c r="N259" s="21" t="n"/>
      <c r="O259" s="21" t="n"/>
      <c r="P259" s="19" t="inlineStr">
        <is>
          <t>USG</t>
        </is>
      </c>
      <c r="Q259" s="19" t="inlineStr">
        <is>
          <t>Scan Findings (USG)</t>
        </is>
      </c>
      <c r="R259" s="9" t="inlineStr">
        <is>
          <t>0</t>
        </is>
      </c>
      <c r="S259" s="10" t="inlineStr">
        <is>
          <t>Any positive finding</t>
        </is>
      </c>
      <c r="T259" s="11" t="inlineStr">
        <is>
          <t>Significant finding</t>
        </is>
      </c>
      <c r="U259" s="12" t="inlineStr">
        <is>
          <t>Severe finding</t>
        </is>
      </c>
      <c r="V259" s="16" t="inlineStr">
        <is>
          <t>No</t>
        </is>
      </c>
      <c r="W259" s="14" t="inlineStr">
        <is>
          <t>Yes</t>
        </is>
      </c>
      <c r="X259" s="25" t="inlineStr">
        <is>
          <t>U</t>
        </is>
      </c>
    </row>
    <row r="260" ht="16" customHeight="1">
      <c r="A260" s="19" t="n">
        <v>259</v>
      </c>
      <c r="B260" s="19" t="inlineStr">
        <is>
          <t>Liver Steatosis Grade</t>
        </is>
      </c>
      <c r="C260" t="inlineStr">
        <is>
          <t>Fatty Liver Severity</t>
        </is>
      </c>
      <c r="D260" s="19" t="inlineStr">
        <is>
          <t>Normal</t>
        </is>
      </c>
      <c r="E260" s="19" t="n"/>
      <c r="G260" s="19" t="inlineStr">
        <is>
          <t>Yes</t>
        </is>
      </c>
      <c r="I260" s="19" t="n"/>
      <c r="K260" s="19" t="n"/>
      <c r="L260" s="19" t="n"/>
      <c r="M260" s="19" t="n"/>
      <c r="N260" s="21" t="n"/>
      <c r="O260" s="21" t="n"/>
      <c r="P260" s="19" t="inlineStr">
        <is>
          <t>USG</t>
        </is>
      </c>
      <c r="Q260" s="19" t="inlineStr">
        <is>
          <t>Scan Findings (USG)</t>
        </is>
      </c>
      <c r="R260" s="9" t="inlineStr">
        <is>
          <t>—</t>
        </is>
      </c>
      <c r="S260" s="10" t="inlineStr">
        <is>
          <t>—</t>
        </is>
      </c>
      <c r="T260" s="11" t="inlineStr">
        <is>
          <t>—</t>
        </is>
      </c>
      <c r="U260" s="12" t="inlineStr">
        <is>
          <t>—</t>
        </is>
      </c>
      <c r="V260" s="16" t="inlineStr">
        <is>
          <t>No</t>
        </is>
      </c>
      <c r="W260" s="16" t="inlineStr">
        <is>
          <t>No</t>
        </is>
      </c>
      <c r="X260" s="25" t="inlineStr">
        <is>
          <t>U</t>
        </is>
      </c>
    </row>
    <row r="261" ht="16" customHeight="1">
      <c r="A261" s="19" t="n">
        <v>260</v>
      </c>
      <c r="B261" s="19" t="inlineStr">
        <is>
          <t>Renal Cortical Thickness</t>
        </is>
      </c>
      <c r="C261" t="inlineStr">
        <is>
          <t>Kidney Reserve Marker</t>
        </is>
      </c>
      <c r="D261" s="19" t="inlineStr">
        <is>
          <t>Normal</t>
        </is>
      </c>
      <c r="E261" s="19" t="n"/>
      <c r="G261" s="19" t="n"/>
      <c r="I261" s="19" t="inlineStr">
        <is>
          <t>Yes</t>
        </is>
      </c>
      <c r="K261" s="19" t="n"/>
      <c r="L261" s="19" t="n"/>
      <c r="M261" s="19" t="n"/>
      <c r="N261" s="21" t="n"/>
      <c r="O261" s="21" t="n"/>
      <c r="P261" s="19" t="inlineStr">
        <is>
          <t>USG</t>
        </is>
      </c>
      <c r="Q261" s="19" t="inlineStr">
        <is>
          <t>Scan Findings (USG)</t>
        </is>
      </c>
      <c r="R261" s="9" t="inlineStr">
        <is>
          <t>≥ 10.0</t>
        </is>
      </c>
      <c r="S261" s="10" t="inlineStr">
        <is>
          <t>8.0 – 10.0</t>
        </is>
      </c>
      <c r="T261" s="11" t="inlineStr">
        <is>
          <t>5.0 – 8.0</t>
        </is>
      </c>
      <c r="U261" s="12" t="inlineStr">
        <is>
          <t>&lt; 5.0</t>
        </is>
      </c>
      <c r="V261" s="16" t="inlineStr">
        <is>
          <t>No</t>
        </is>
      </c>
      <c r="W261" s="16" t="inlineStr">
        <is>
          <t>No</t>
        </is>
      </c>
      <c r="X261" s="25" t="inlineStr">
        <is>
          <t>U</t>
        </is>
      </c>
    </row>
    <row r="262" ht="16" customHeight="1">
      <c r="A262" s="19" t="n">
        <v>261</v>
      </c>
      <c r="B262" s="19" t="inlineStr">
        <is>
          <t>Liver Fat %</t>
        </is>
      </c>
      <c r="C262" t="inlineStr">
        <is>
          <t>MRI-measured Liver Fat (PDFF)</t>
        </is>
      </c>
      <c r="D262" s="19" t="inlineStr">
        <is>
          <t>Normal</t>
        </is>
      </c>
      <c r="E262" s="19" t="n"/>
      <c r="G262" s="19" t="inlineStr">
        <is>
          <t>Yes</t>
        </is>
      </c>
      <c r="I262" s="19" t="n"/>
      <c r="K262" s="19" t="n"/>
      <c r="L262" s="19" t="n"/>
      <c r="M262" s="19" t="n"/>
      <c r="N262" s="21" t="n"/>
      <c r="O262" s="21" t="n"/>
      <c r="P262" s="19" t="inlineStr">
        <is>
          <t>MRI</t>
        </is>
      </c>
      <c r="Q262" s="19" t="inlineStr">
        <is>
          <t>MRI Report</t>
        </is>
      </c>
      <c r="R262" s="9" t="inlineStr">
        <is>
          <t>≤ 5.0</t>
        </is>
      </c>
      <c r="S262" s="10" t="inlineStr">
        <is>
          <t>5.0 – 6.0</t>
        </is>
      </c>
      <c r="T262" s="11" t="inlineStr">
        <is>
          <t>6.0 – 8.75</t>
        </is>
      </c>
      <c r="U262" s="12" t="inlineStr">
        <is>
          <t>&gt; 8.75</t>
        </is>
      </c>
      <c r="V262" s="16" t="inlineStr">
        <is>
          <t>No</t>
        </is>
      </c>
      <c r="W262" s="16" t="inlineStr">
        <is>
          <t>No</t>
        </is>
      </c>
      <c r="X262" s="25" t="inlineStr">
        <is>
          <t>U</t>
        </is>
      </c>
    </row>
    <row r="263" ht="16" customHeight="1">
      <c r="A263" s="19" t="n">
        <v>262</v>
      </c>
      <c r="B263" s="19" t="inlineStr">
        <is>
          <t>White Matter Hyperintensity</t>
        </is>
      </c>
      <c r="C263" t="inlineStr">
        <is>
          <t>Brain Small Vessel Disease Burden</t>
        </is>
      </c>
      <c r="D263" s="19" t="inlineStr">
        <is>
          <t>Normal</t>
        </is>
      </c>
      <c r="E263" s="19" t="n"/>
      <c r="G263" s="19" t="n"/>
      <c r="H263" t="inlineStr">
        <is>
          <t>Yes</t>
        </is>
      </c>
      <c r="I263" s="19" t="n"/>
      <c r="K263" s="19" t="n"/>
      <c r="L263" s="19" t="n"/>
      <c r="M263" s="19" t="n"/>
      <c r="N263" s="21" t="n"/>
      <c r="O263" s="21" t="n"/>
      <c r="P263" s="19" t="inlineStr">
        <is>
          <t>MRI</t>
        </is>
      </c>
      <c r="Q263" s="19" t="inlineStr">
        <is>
          <t>MRI Report</t>
        </is>
      </c>
      <c r="R263" s="9" t="n"/>
      <c r="S263" s="10" t="inlineStr">
        <is>
          <t>Any positive finding</t>
        </is>
      </c>
      <c r="T263" s="11" t="inlineStr">
        <is>
          <t>Significant finding</t>
        </is>
      </c>
      <c r="U263" s="12" t="inlineStr">
        <is>
          <t>Severe finding</t>
        </is>
      </c>
      <c r="V263" s="16" t="inlineStr">
        <is>
          <t>No</t>
        </is>
      </c>
      <c r="W263" s="16" t="inlineStr">
        <is>
          <t>No</t>
        </is>
      </c>
      <c r="X263" s="25" t="inlineStr">
        <is>
          <t>U</t>
        </is>
      </c>
    </row>
    <row r="264" ht="16" customHeight="1">
      <c r="A264" s="19" t="n">
        <v>263</v>
      </c>
      <c r="B264" s="19" t="inlineStr">
        <is>
          <t>Prostate Volume</t>
        </is>
      </c>
      <c r="C264" t="inlineStr">
        <is>
          <t>Prostate Size</t>
        </is>
      </c>
      <c r="D264" s="19" t="inlineStr">
        <is>
          <t>Normal</t>
        </is>
      </c>
      <c r="E264" s="19" t="n"/>
      <c r="G264" s="19" t="n"/>
      <c r="I264" s="19" t="n"/>
      <c r="K264" s="19" t="n"/>
      <c r="L264" s="19" t="n"/>
      <c r="M264" s="19" t="n"/>
      <c r="N264" s="21" t="n"/>
      <c r="O264" s="21" t="inlineStr">
        <is>
          <t>Yes</t>
        </is>
      </c>
      <c r="P264" s="19" t="inlineStr">
        <is>
          <t>MRI</t>
        </is>
      </c>
      <c r="Q264" s="19" t="inlineStr">
        <is>
          <t>MRI Report</t>
        </is>
      </c>
      <c r="R264" s="9" t="inlineStr">
        <is>
          <t>≤ 30.0</t>
        </is>
      </c>
      <c r="S264" s="10" t="inlineStr">
        <is>
          <t>30.0 – 36.0</t>
        </is>
      </c>
      <c r="T264" s="11" t="inlineStr">
        <is>
          <t>36.0 – 52.5</t>
        </is>
      </c>
      <c r="U264" s="12" t="inlineStr">
        <is>
          <t>&gt; 52.5</t>
        </is>
      </c>
      <c r="V264" s="16" t="inlineStr">
        <is>
          <t>No</t>
        </is>
      </c>
      <c r="W264" s="16" t="inlineStr">
        <is>
          <t>No</t>
        </is>
      </c>
      <c r="X264" s="25" t="inlineStr">
        <is>
          <t>M</t>
        </is>
      </c>
    </row>
    <row r="265" ht="16" customHeight="1">
      <c r="A265" s="19" t="n">
        <v>264</v>
      </c>
      <c r="B265" s="19" t="inlineStr">
        <is>
          <t>ASMI</t>
        </is>
      </c>
      <c r="C265" t="inlineStr">
        <is>
          <t>Appendicular Skeletal Muscle Index</t>
        </is>
      </c>
      <c r="D265" s="19" t="inlineStr">
        <is>
          <t>Normal</t>
        </is>
      </c>
      <c r="E265" s="19" t="n"/>
      <c r="G265" s="19" t="n"/>
      <c r="I265" s="19" t="n"/>
      <c r="K265" s="19" t="inlineStr">
        <is>
          <t>Yes</t>
        </is>
      </c>
      <c r="L265" s="19" t="n"/>
      <c r="M265" s="19" t="n"/>
      <c r="N265" s="21" t="n"/>
      <c r="O265" s="21" t="n"/>
      <c r="P265" s="19" t="inlineStr">
        <is>
          <t>DEXA Scan</t>
        </is>
      </c>
      <c r="Q265" s="19" t="inlineStr">
        <is>
          <t>DEXA Report</t>
        </is>
      </c>
      <c r="R265" s="9" t="inlineStr">
        <is>
          <t>≥ 7.0</t>
        </is>
      </c>
      <c r="S265" s="10" t="inlineStr">
        <is>
          <t>5.6 – 7.0</t>
        </is>
      </c>
      <c r="T265" s="11" t="inlineStr">
        <is>
          <t>3.5 – 5.6</t>
        </is>
      </c>
      <c r="U265" s="12" t="inlineStr">
        <is>
          <t>&lt; 3.5</t>
        </is>
      </c>
      <c r="V265" s="13" t="inlineStr">
        <is>
          <t>Yes</t>
        </is>
      </c>
      <c r="W265" s="14" t="inlineStr">
        <is>
          <t>Yes</t>
        </is>
      </c>
      <c r="X265" s="25" t="inlineStr">
        <is>
          <t>U</t>
        </is>
      </c>
    </row>
    <row r="266" ht="16" customHeight="1">
      <c r="A266" s="19" t="n">
        <v>265</v>
      </c>
      <c r="B266" s="19" t="inlineStr">
        <is>
          <t>Fat Mass Index</t>
        </is>
      </c>
      <c r="C266" t="inlineStr">
        <is>
          <t>Standardised Body Fat</t>
        </is>
      </c>
      <c r="D266" s="19" t="inlineStr">
        <is>
          <t>Normal</t>
        </is>
      </c>
      <c r="E266" s="19" t="n"/>
      <c r="F266" t="inlineStr">
        <is>
          <t>Yes</t>
        </is>
      </c>
      <c r="G266" s="19" t="n"/>
      <c r="I266" s="19" t="n"/>
      <c r="K266" s="19" t="n"/>
      <c r="L266" s="19" t="n"/>
      <c r="M266" s="19" t="n"/>
      <c r="N266" s="21" t="n"/>
      <c r="O266" s="21" t="n"/>
      <c r="P266" s="19" t="inlineStr">
        <is>
          <t>DEXA Scan</t>
        </is>
      </c>
      <c r="Q266" s="19" t="inlineStr">
        <is>
          <t>DEXA Report</t>
        </is>
      </c>
      <c r="R266" s="9" t="inlineStr">
        <is>
          <t>≤ 9.0</t>
        </is>
      </c>
      <c r="S266" s="10" t="inlineStr">
        <is>
          <t>9.0 – 10.8</t>
        </is>
      </c>
      <c r="T266" s="11" t="inlineStr">
        <is>
          <t>10.8 – 15.75</t>
        </is>
      </c>
      <c r="U266" s="12" t="inlineStr">
        <is>
          <t>&gt; 15.75</t>
        </is>
      </c>
      <c r="V266" s="13" t="inlineStr">
        <is>
          <t>Yes</t>
        </is>
      </c>
      <c r="W266" s="14" t="inlineStr">
        <is>
          <t>Yes</t>
        </is>
      </c>
      <c r="X266" s="25" t="inlineStr">
        <is>
          <t>U</t>
        </is>
      </c>
    </row>
    <row r="267" ht="16" customHeight="1">
      <c r="A267" s="19" t="n">
        <v>266</v>
      </c>
      <c r="B267" s="19" t="inlineStr">
        <is>
          <t>Trunk:Limb Fat Ratio</t>
        </is>
      </c>
      <c r="C267" t="inlineStr">
        <is>
          <t>Central vs Peripheral Fat</t>
        </is>
      </c>
      <c r="D267" s="19" t="inlineStr">
        <is>
          <t>Normal</t>
        </is>
      </c>
      <c r="E267" s="19" t="n"/>
      <c r="F267" t="inlineStr">
        <is>
          <t>Yes</t>
        </is>
      </c>
      <c r="G267" s="19" t="n"/>
      <c r="I267" s="19" t="n"/>
      <c r="K267" s="19" t="n"/>
      <c r="L267" s="19" t="n"/>
      <c r="M267" s="19" t="n"/>
      <c r="N267" s="21" t="n"/>
      <c r="O267" s="21" t="n"/>
      <c r="P267" s="19" t="inlineStr">
        <is>
          <t>DEXA Scan</t>
        </is>
      </c>
      <c r="Q267" s="19" t="inlineStr">
        <is>
          <t>DEXA Report</t>
        </is>
      </c>
      <c r="R267" s="9" t="inlineStr">
        <is>
          <t>≤ 1.2</t>
        </is>
      </c>
      <c r="S267" s="10" t="inlineStr">
        <is>
          <t>1.2 – 1.44</t>
        </is>
      </c>
      <c r="T267" s="11" t="inlineStr">
        <is>
          <t>1.44 – 2.1</t>
        </is>
      </c>
      <c r="U267" s="12" t="inlineStr">
        <is>
          <t>&gt; 2.1</t>
        </is>
      </c>
      <c r="V267" s="13" t="inlineStr">
        <is>
          <t>Yes</t>
        </is>
      </c>
      <c r="W267" s="14" t="inlineStr">
        <is>
          <t>Yes</t>
        </is>
      </c>
      <c r="X267" s="25" t="inlineStr">
        <is>
          <t>U</t>
        </is>
      </c>
    </row>
    <row r="268" ht="16" customHeight="1">
      <c r="A268" s="19" t="n">
        <v>267</v>
      </c>
      <c r="B268" s="19" t="inlineStr">
        <is>
          <t>P-Wave Duration</t>
        </is>
      </c>
      <c r="C268" t="inlineStr">
        <is>
          <t>Atrial Conduction Time / AF Risk</t>
        </is>
      </c>
      <c r="D268" s="19" t="inlineStr">
        <is>
          <t>Normal</t>
        </is>
      </c>
      <c r="E268" s="19" t="inlineStr">
        <is>
          <t>Yes</t>
        </is>
      </c>
      <c r="G268" s="19" t="n"/>
      <c r="I268" s="19" t="n"/>
      <c r="K268" s="19" t="n"/>
      <c r="L268" s="19" t="n"/>
      <c r="M268" s="19" t="n"/>
      <c r="N268" s="21" t="n"/>
      <c r="O268" s="21" t="n"/>
      <c r="P268" s="19" t="inlineStr">
        <is>
          <t>ECG</t>
        </is>
      </c>
      <c r="Q268" s="19" t="inlineStr">
        <is>
          <t>ECG Report</t>
        </is>
      </c>
      <c r="R268" s="9" t="inlineStr">
        <is>
          <t>≤ 120.0</t>
        </is>
      </c>
      <c r="S268" s="10" t="inlineStr">
        <is>
          <t>120.0 – 144.0</t>
        </is>
      </c>
      <c r="T268" s="11" t="inlineStr">
        <is>
          <t>144.0 – 210.0</t>
        </is>
      </c>
      <c r="U268" s="12" t="inlineStr">
        <is>
          <t>&gt; 210.0</t>
        </is>
      </c>
      <c r="V268" s="16" t="inlineStr">
        <is>
          <t>No</t>
        </is>
      </c>
      <c r="W268" s="16" t="inlineStr">
        <is>
          <t>No</t>
        </is>
      </c>
      <c r="X268" s="25" t="inlineStr">
        <is>
          <t>U</t>
        </is>
      </c>
    </row>
    <row r="269" ht="16" customHeight="1">
      <c r="A269" s="22" t="n">
        <v>268</v>
      </c>
      <c r="B269" s="23" t="inlineStr">
        <is>
          <t>FSH</t>
        </is>
      </c>
      <c r="C269" t="inlineStr">
        <is>
          <t>Follicle Stimulating Hormone</t>
        </is>
      </c>
      <c r="D269" s="22" t="inlineStr">
        <is>
          <t>Normal</t>
        </is>
      </c>
      <c r="E269" s="22" t="n"/>
      <c r="G269" s="22" t="n"/>
      <c r="I269" s="22" t="n"/>
      <c r="K269" s="22" t="n"/>
      <c r="L269" s="22" t="n"/>
      <c r="M269" s="22" t="n"/>
      <c r="N269" s="22" t="inlineStr">
        <is>
          <t>Yes</t>
        </is>
      </c>
      <c r="O269" s="22" t="n"/>
      <c r="P269" s="22" t="inlineStr">
        <is>
          <t>Blood Test</t>
        </is>
      </c>
      <c r="Q269" s="22" t="inlineStr">
        <is>
          <t>Blood Report</t>
        </is>
      </c>
      <c r="R269" s="22" t="inlineStr">
        <is>
          <t>3–10 mIU/mL</t>
        </is>
      </c>
      <c r="S269" s="22" t="inlineStr">
        <is>
          <t>10–15 mIU/mL</t>
        </is>
      </c>
      <c r="T269" s="22" t="inlineStr">
        <is>
          <t>15–25 mIU/mL</t>
        </is>
      </c>
      <c r="U269" s="22" t="inlineStr">
        <is>
          <t>&gt; 25 mIU/mL (suggests menopause)</t>
        </is>
      </c>
      <c r="V269" s="22" t="inlineStr">
        <is>
          <t>No</t>
        </is>
      </c>
      <c r="W269" s="22" t="inlineStr">
        <is>
          <t>No</t>
        </is>
      </c>
      <c r="X269" s="26" t="inlineStr">
        <is>
          <t>F</t>
        </is>
      </c>
    </row>
    <row r="270" ht="16" customHeight="1">
      <c r="A270" s="22" t="n">
        <v>269</v>
      </c>
      <c r="B270" s="23" t="inlineStr">
        <is>
          <t>LH</t>
        </is>
      </c>
      <c r="C270" t="inlineStr">
        <is>
          <t>Luteinizing Hormone</t>
        </is>
      </c>
      <c r="D270" s="22" t="inlineStr">
        <is>
          <t>Normal</t>
        </is>
      </c>
      <c r="E270" s="22" t="n"/>
      <c r="G270" s="22" t="n"/>
      <c r="I270" s="22" t="n"/>
      <c r="K270" s="22" t="n"/>
      <c r="L270" s="22" t="n"/>
      <c r="M270" s="22" t="n"/>
      <c r="N270" s="22" t="inlineStr">
        <is>
          <t>Yes</t>
        </is>
      </c>
      <c r="O270" s="22" t="n"/>
      <c r="P270" s="22" t="inlineStr">
        <is>
          <t>Blood Test</t>
        </is>
      </c>
      <c r="Q270" s="22" t="inlineStr">
        <is>
          <t>Blood Report</t>
        </is>
      </c>
      <c r="R270" s="22" t="inlineStr">
        <is>
          <t>2–15 mIU/mL</t>
        </is>
      </c>
      <c r="S270" s="22" t="inlineStr">
        <is>
          <t>—</t>
        </is>
      </c>
      <c r="T270" s="22" t="inlineStr">
        <is>
          <t>—</t>
        </is>
      </c>
      <c r="U270" s="22" t="inlineStr">
        <is>
          <t>—</t>
        </is>
      </c>
      <c r="V270" s="22" t="inlineStr">
        <is>
          <t>No</t>
        </is>
      </c>
      <c r="W270" s="22" t="inlineStr">
        <is>
          <t>No</t>
        </is>
      </c>
      <c r="X270" s="26" t="inlineStr">
        <is>
          <t>F</t>
        </is>
      </c>
    </row>
    <row r="271" ht="16" customHeight="1">
      <c r="A271" s="22" t="n">
        <v>270</v>
      </c>
      <c r="B271" s="23" t="inlineStr">
        <is>
          <t>Progesterone</t>
        </is>
      </c>
      <c r="C271" t="inlineStr">
        <is>
          <t>Female Reproductive Hormone</t>
        </is>
      </c>
      <c r="D271" s="22" t="inlineStr">
        <is>
          <t>Normal</t>
        </is>
      </c>
      <c r="E271" s="22" t="n"/>
      <c r="G271" s="22" t="n"/>
      <c r="I271" s="22" t="n"/>
      <c r="K271" s="22" t="n"/>
      <c r="L271" s="22" t="n"/>
      <c r="M271" s="22" t="n"/>
      <c r="N271" s="22" t="inlineStr">
        <is>
          <t>Yes</t>
        </is>
      </c>
      <c r="O271" s="22" t="n"/>
      <c r="P271" s="22" t="inlineStr">
        <is>
          <t>Blood Test</t>
        </is>
      </c>
      <c r="Q271" s="22" t="inlineStr">
        <is>
          <t>Blood Report</t>
        </is>
      </c>
      <c r="R271" s="22" t="inlineStr">
        <is>
          <t>0.2–1.5 ng/mL (follicular) / 5–20 ng/mL (luteal)</t>
        </is>
      </c>
      <c r="S271" s="22" t="inlineStr">
        <is>
          <t>—</t>
        </is>
      </c>
      <c r="T271" s="22" t="inlineStr">
        <is>
          <t>—</t>
        </is>
      </c>
      <c r="U271" s="22" t="inlineStr">
        <is>
          <t>—</t>
        </is>
      </c>
      <c r="V271" s="22" t="inlineStr">
        <is>
          <t>No</t>
        </is>
      </c>
      <c r="W271" s="22" t="inlineStr">
        <is>
          <t>No</t>
        </is>
      </c>
      <c r="X271" s="26" t="inlineStr">
        <is>
          <t>F</t>
        </is>
      </c>
    </row>
    <row r="272" ht="16" customHeight="1">
      <c r="A272" s="22" t="n">
        <v>271</v>
      </c>
      <c r="B272" s="23" t="inlineStr">
        <is>
          <t>Prolactin</t>
        </is>
      </c>
      <c r="C272" t="inlineStr">
        <is>
          <t>Lactation &amp; Reproductive Hormone</t>
        </is>
      </c>
      <c r="D272" s="22" t="inlineStr">
        <is>
          <t>Normal</t>
        </is>
      </c>
      <c r="E272" s="22" t="n"/>
      <c r="G272" s="22" t="n"/>
      <c r="I272" s="22" t="n"/>
      <c r="K272" s="22" t="n"/>
      <c r="L272" s="22" t="n"/>
      <c r="M272" s="22" t="n"/>
      <c r="N272" s="22" t="inlineStr">
        <is>
          <t>Yes</t>
        </is>
      </c>
      <c r="O272" s="22" t="n"/>
      <c r="P272" s="22" t="inlineStr">
        <is>
          <t>Blood Test</t>
        </is>
      </c>
      <c r="Q272" s="22" t="inlineStr">
        <is>
          <t>Blood Report</t>
        </is>
      </c>
      <c r="R272" s="22" t="inlineStr">
        <is>
          <t>2–29 ng/mL</t>
        </is>
      </c>
      <c r="S272" s="22" t="inlineStr">
        <is>
          <t>29–50 ng/mL</t>
        </is>
      </c>
      <c r="T272" s="22" t="inlineStr">
        <is>
          <t>50–100 ng/mL</t>
        </is>
      </c>
      <c r="U272" s="22" t="inlineStr">
        <is>
          <t>&gt; 100 ng/mL</t>
        </is>
      </c>
      <c r="V272" s="22" t="inlineStr">
        <is>
          <t>No</t>
        </is>
      </c>
      <c r="W272" s="22" t="inlineStr">
        <is>
          <t>No</t>
        </is>
      </c>
      <c r="X272" s="26" t="inlineStr">
        <is>
          <t>F</t>
        </is>
      </c>
    </row>
    <row r="273" ht="16" customHeight="1">
      <c r="A273" s="22" t="n">
        <v>272</v>
      </c>
      <c r="B273" s="23" t="inlineStr">
        <is>
          <t>AMH</t>
        </is>
      </c>
      <c r="C273" t="inlineStr">
        <is>
          <t>Anti-Müllerian Hormone / Ovarian Reserve</t>
        </is>
      </c>
      <c r="D273" s="22" t="inlineStr">
        <is>
          <t>Normal</t>
        </is>
      </c>
      <c r="E273" s="22" t="n"/>
      <c r="G273" s="22" t="n"/>
      <c r="I273" s="22" t="n"/>
      <c r="K273" s="22" t="n"/>
      <c r="L273" s="22" t="n"/>
      <c r="M273" s="22" t="n"/>
      <c r="N273" s="22" t="inlineStr">
        <is>
          <t>Yes</t>
        </is>
      </c>
      <c r="O273" s="22" t="n"/>
      <c r="P273" s="22" t="inlineStr">
        <is>
          <t>Blood Test</t>
        </is>
      </c>
      <c r="Q273" s="22" t="inlineStr">
        <is>
          <t>Blood Report</t>
        </is>
      </c>
      <c r="R273" s="22" t="inlineStr">
        <is>
          <t>1.0–3.5 ng/mL</t>
        </is>
      </c>
      <c r="S273" s="22" t="inlineStr">
        <is>
          <t>0.5–1.0 ng/mL</t>
        </is>
      </c>
      <c r="T273" s="22" t="inlineStr">
        <is>
          <t>&lt; 0.5 ng/mL</t>
        </is>
      </c>
      <c r="U273" s="22" t="inlineStr">
        <is>
          <t>—</t>
        </is>
      </c>
      <c r="V273" s="22" t="inlineStr">
        <is>
          <t>No</t>
        </is>
      </c>
      <c r="W273" s="22" t="inlineStr">
        <is>
          <t>Yes</t>
        </is>
      </c>
      <c r="X273" s="26" t="inlineStr">
        <is>
          <t>F</t>
        </is>
      </c>
    </row>
    <row r="274" ht="16" customHeight="1">
      <c r="A274" s="22" t="n">
        <v>273</v>
      </c>
      <c r="B274" s="23" t="inlineStr">
        <is>
          <t>HE4</t>
        </is>
      </c>
      <c r="C274" t="inlineStr">
        <is>
          <t>Human Epididymis Protein 4 / Ovarian Cancer Marker</t>
        </is>
      </c>
      <c r="D274" s="22" t="inlineStr">
        <is>
          <t>Normal</t>
        </is>
      </c>
      <c r="E274" s="22" t="n"/>
      <c r="G274" s="22" t="n"/>
      <c r="I274" s="22" t="n"/>
      <c r="K274" s="22" t="n"/>
      <c r="L274" s="22" t="n"/>
      <c r="M274" s="22" t="n"/>
      <c r="N274" s="22" t="inlineStr">
        <is>
          <t>Yes</t>
        </is>
      </c>
      <c r="O274" s="22" t="n"/>
      <c r="P274" s="22" t="inlineStr">
        <is>
          <t>Blood Test</t>
        </is>
      </c>
      <c r="Q274" s="22" t="inlineStr">
        <is>
          <t>Blood Report</t>
        </is>
      </c>
      <c r="R274" s="22" t="inlineStr">
        <is>
          <t>&lt; 70 pmol/L</t>
        </is>
      </c>
      <c r="S274" s="22" t="inlineStr">
        <is>
          <t>70–90 pmol/L</t>
        </is>
      </c>
      <c r="T274" s="22" t="inlineStr">
        <is>
          <t>90–140 pmol/L</t>
        </is>
      </c>
      <c r="U274" s="22" t="inlineStr">
        <is>
          <t>&gt; 140 pmol/L</t>
        </is>
      </c>
      <c r="V274" s="22" t="inlineStr">
        <is>
          <t>No</t>
        </is>
      </c>
      <c r="W274" s="22" t="inlineStr">
        <is>
          <t>No</t>
        </is>
      </c>
      <c r="X274" s="26" t="inlineStr">
        <is>
          <t>F</t>
        </is>
      </c>
    </row>
    <row r="275" ht="16" customHeight="1">
      <c r="A275" s="22" t="n">
        <v>274</v>
      </c>
      <c r="B275" s="23" t="inlineStr">
        <is>
          <t>CA 15-3</t>
        </is>
      </c>
      <c r="C275" t="inlineStr">
        <is>
          <t>Breast Cancer Marker</t>
        </is>
      </c>
      <c r="D275" s="22" t="inlineStr">
        <is>
          <t>Normal</t>
        </is>
      </c>
      <c r="E275" s="22" t="n"/>
      <c r="G275" s="22" t="n"/>
      <c r="I275" s="22" t="n"/>
      <c r="K275" s="22" t="n"/>
      <c r="L275" s="22" t="n"/>
      <c r="M275" s="22" t="n"/>
      <c r="N275" s="22" t="inlineStr">
        <is>
          <t>Yes</t>
        </is>
      </c>
      <c r="O275" s="22" t="n"/>
      <c r="P275" s="22" t="inlineStr">
        <is>
          <t>Blood Test</t>
        </is>
      </c>
      <c r="Q275" s="22" t="inlineStr">
        <is>
          <t>Blood Report</t>
        </is>
      </c>
      <c r="R275" s="22" t="inlineStr">
        <is>
          <t>&lt; 25 U/mL</t>
        </is>
      </c>
      <c r="S275" s="22" t="inlineStr">
        <is>
          <t>25–30 U/mL</t>
        </is>
      </c>
      <c r="T275" s="22" t="inlineStr">
        <is>
          <t>30–50 U/mL</t>
        </is>
      </c>
      <c r="U275" s="22" t="inlineStr">
        <is>
          <t>&gt; 50 U/mL</t>
        </is>
      </c>
      <c r="V275" s="22" t="inlineStr">
        <is>
          <t>No</t>
        </is>
      </c>
      <c r="W275" s="22" t="inlineStr">
        <is>
          <t>No</t>
        </is>
      </c>
      <c r="X275" s="26" t="inlineStr">
        <is>
          <t>F</t>
        </is>
      </c>
    </row>
    <row r="276" ht="16" customHeight="1">
      <c r="A276" s="22" t="n">
        <v>275</v>
      </c>
      <c r="B276" s="23" t="inlineStr">
        <is>
          <t>DHEA-S</t>
        </is>
      </c>
      <c r="C276" t="inlineStr">
        <is>
          <t>Adrenal Androgen (Female)</t>
        </is>
      </c>
      <c r="D276" s="22" t="inlineStr">
        <is>
          <t>Normal</t>
        </is>
      </c>
      <c r="E276" s="22" t="n"/>
      <c r="G276" s="22" t="n"/>
      <c r="I276" s="22" t="n"/>
      <c r="K276" s="22" t="n"/>
      <c r="L276" s="22" t="n"/>
      <c r="M276" s="22" t="n"/>
      <c r="N276" s="22" t="inlineStr">
        <is>
          <t>Yes</t>
        </is>
      </c>
      <c r="O276" s="22" t="n"/>
      <c r="P276" s="22" t="inlineStr">
        <is>
          <t>Blood Test</t>
        </is>
      </c>
      <c r="Q276" s="22" t="inlineStr">
        <is>
          <t>Blood Report</t>
        </is>
      </c>
      <c r="R276" s="22" t="inlineStr">
        <is>
          <t>35–430 µg/dL</t>
        </is>
      </c>
      <c r="S276" s="22" t="inlineStr">
        <is>
          <t>—</t>
        </is>
      </c>
      <c r="T276" s="22" t="inlineStr">
        <is>
          <t>—</t>
        </is>
      </c>
      <c r="U276" s="22" t="inlineStr">
        <is>
          <t>—</t>
        </is>
      </c>
      <c r="V276" s="22" t="inlineStr">
        <is>
          <t>No</t>
        </is>
      </c>
      <c r="W276" s="22" t="inlineStr">
        <is>
          <t>Yes</t>
        </is>
      </c>
      <c r="X276" s="26" t="inlineStr">
        <is>
          <t>F</t>
        </is>
      </c>
    </row>
    <row r="277" ht="16" customHeight="1">
      <c r="A277" s="22" t="n">
        <v>276</v>
      </c>
      <c r="B277" s="23" t="inlineStr">
        <is>
          <t>Breast Ultrasound</t>
        </is>
      </c>
      <c r="C277" t="inlineStr">
        <is>
          <t>Breast Tissue Assessment</t>
        </is>
      </c>
      <c r="D277" s="22" t="inlineStr">
        <is>
          <t>Normal</t>
        </is>
      </c>
      <c r="E277" s="22" t="n"/>
      <c r="G277" s="22" t="n"/>
      <c r="I277" s="22" t="n"/>
      <c r="K277" s="22" t="n"/>
      <c r="L277" s="22" t="n"/>
      <c r="M277" s="22" t="n"/>
      <c r="N277" s="22" t="inlineStr">
        <is>
          <t>Yes</t>
        </is>
      </c>
      <c r="O277" s="22" t="n"/>
      <c r="P277" s="22" t="inlineStr">
        <is>
          <t>USG</t>
        </is>
      </c>
      <c r="Q277" s="22" t="inlineStr">
        <is>
          <t>Scan Findings (USG)</t>
        </is>
      </c>
      <c r="R277" s="22" t="inlineStr">
        <is>
          <t>Normal</t>
        </is>
      </c>
      <c r="S277" s="22" t="inlineStr">
        <is>
          <t>—</t>
        </is>
      </c>
      <c r="T277" s="22" t="inlineStr">
        <is>
          <t>—</t>
        </is>
      </c>
      <c r="U277" s="22" t="inlineStr">
        <is>
          <t>Abnormal / BIRADS 4+</t>
        </is>
      </c>
      <c r="V277" s="22" t="inlineStr">
        <is>
          <t>No</t>
        </is>
      </c>
      <c r="W277" s="22" t="inlineStr">
        <is>
          <t>No</t>
        </is>
      </c>
      <c r="X277" s="26" t="inlineStr">
        <is>
          <t>F</t>
        </is>
      </c>
    </row>
    <row r="278" ht="16" customHeight="1">
      <c r="A278" s="22" t="n">
        <v>277</v>
      </c>
      <c r="B278" s="23" t="inlineStr">
        <is>
          <t>Transvaginal Ultrasound</t>
        </is>
      </c>
      <c r="C278" t="inlineStr">
        <is>
          <t>Pelvic Organ Assessment</t>
        </is>
      </c>
      <c r="D278" s="22" t="inlineStr">
        <is>
          <t>Normal</t>
        </is>
      </c>
      <c r="E278" s="22" t="n"/>
      <c r="G278" s="22" t="n"/>
      <c r="I278" s="22" t="n"/>
      <c r="K278" s="22" t="n"/>
      <c r="L278" s="22" t="n"/>
      <c r="M278" s="22" t="n"/>
      <c r="N278" s="22" t="inlineStr">
        <is>
          <t>Yes</t>
        </is>
      </c>
      <c r="O278" s="22" t="n"/>
      <c r="P278" s="22" t="inlineStr">
        <is>
          <t>USG</t>
        </is>
      </c>
      <c r="Q278" s="22" t="inlineStr">
        <is>
          <t>Scan Findings (USG)</t>
        </is>
      </c>
      <c r="R278" s="22" t="inlineStr">
        <is>
          <t>Normal</t>
        </is>
      </c>
      <c r="S278" s="22" t="inlineStr">
        <is>
          <t>—</t>
        </is>
      </c>
      <c r="T278" s="22" t="inlineStr">
        <is>
          <t>—</t>
        </is>
      </c>
      <c r="U278" s="22" t="inlineStr">
        <is>
          <t>Abnormal</t>
        </is>
      </c>
      <c r="V278" s="22" t="inlineStr">
        <is>
          <t>No</t>
        </is>
      </c>
      <c r="W278" s="22" t="inlineStr">
        <is>
          <t>No</t>
        </is>
      </c>
      <c r="X278" s="26" t="inlineStr">
        <is>
          <t>F</t>
        </is>
      </c>
    </row>
    <row r="279" ht="16" customHeight="1">
      <c r="A279" s="22" t="n">
        <v>278</v>
      </c>
      <c r="B279" s="23" t="inlineStr">
        <is>
          <t>Endometrial Thickness</t>
        </is>
      </c>
      <c r="C279" t="inlineStr">
        <is>
          <t>Uterine Lining Thickness</t>
        </is>
      </c>
      <c r="D279" s="22" t="inlineStr">
        <is>
          <t>Normal</t>
        </is>
      </c>
      <c r="E279" s="22" t="n"/>
      <c r="G279" s="22" t="n"/>
      <c r="I279" s="22" t="n"/>
      <c r="K279" s="22" t="n"/>
      <c r="L279" s="22" t="n"/>
      <c r="M279" s="22" t="n"/>
      <c r="N279" s="22" t="inlineStr">
        <is>
          <t>Yes</t>
        </is>
      </c>
      <c r="O279" s="22" t="n"/>
      <c r="P279" s="22" t="inlineStr">
        <is>
          <t>USG</t>
        </is>
      </c>
      <c r="Q279" s="22" t="inlineStr">
        <is>
          <t>Scan Findings (USG)</t>
        </is>
      </c>
      <c r="R279" s="22" t="inlineStr">
        <is>
          <t>&lt; 12 mm</t>
        </is>
      </c>
      <c r="S279" s="22" t="inlineStr">
        <is>
          <t>12–15 mm</t>
        </is>
      </c>
      <c r="T279" s="22" t="inlineStr">
        <is>
          <t>15–20 mm</t>
        </is>
      </c>
      <c r="U279" s="22" t="inlineStr">
        <is>
          <t>&gt; 20 mm</t>
        </is>
      </c>
      <c r="V279" s="22" t="inlineStr">
        <is>
          <t>No</t>
        </is>
      </c>
      <c r="W279" s="22" t="inlineStr">
        <is>
          <t>No</t>
        </is>
      </c>
      <c r="X279" s="26" t="inlineStr">
        <is>
          <t>F</t>
        </is>
      </c>
    </row>
    <row r="280" ht="16" customHeight="1">
      <c r="A280" s="22" t="n">
        <v>279</v>
      </c>
      <c r="B280" s="23" t="inlineStr">
        <is>
          <t>Mammography</t>
        </is>
      </c>
      <c r="C280" t="inlineStr">
        <is>
          <t>Breast Cancer Screening</t>
        </is>
      </c>
      <c r="D280" s="22" t="inlineStr">
        <is>
          <t>Normal</t>
        </is>
      </c>
      <c r="E280" s="22" t="n"/>
      <c r="G280" s="22" t="n"/>
      <c r="I280" s="22" t="n"/>
      <c r="K280" s="22" t="n"/>
      <c r="L280" s="22" t="n"/>
      <c r="M280" s="22" t="n"/>
      <c r="N280" s="22" t="inlineStr">
        <is>
          <t>Yes</t>
        </is>
      </c>
      <c r="O280" s="22" t="n"/>
      <c r="P280" s="22" t="inlineStr">
        <is>
          <t>Mammography Report</t>
        </is>
      </c>
      <c r="Q280" s="22" t="inlineStr">
        <is>
          <t>Mammography Report</t>
        </is>
      </c>
      <c r="R280" s="22" t="inlineStr">
        <is>
          <t>BIRADS 1</t>
        </is>
      </c>
      <c r="S280" s="22" t="inlineStr">
        <is>
          <t>BIRADS 2</t>
        </is>
      </c>
      <c r="T280" s="22" t="inlineStr">
        <is>
          <t>BIRADS 3</t>
        </is>
      </c>
      <c r="U280" s="22" t="inlineStr">
        <is>
          <t>BIRADS 4/5/6</t>
        </is>
      </c>
      <c r="V280" s="22" t="inlineStr">
        <is>
          <t>No</t>
        </is>
      </c>
      <c r="W280" s="22" t="inlineStr">
        <is>
          <t>No</t>
        </is>
      </c>
      <c r="X280" s="26" t="inlineStr">
        <is>
          <t>F</t>
        </is>
      </c>
    </row>
    <row r="281" ht="16" customHeight="1">
      <c r="A281" t="n">
        <v>280</v>
      </c>
      <c r="B281" t="inlineStr">
        <is>
          <t>Prostate</t>
        </is>
      </c>
      <c r="C281" t="inlineStr">
        <is>
          <t>USG: Prostate</t>
        </is>
      </c>
      <c r="D281" t="inlineStr">
        <is>
          <t>Minor</t>
        </is>
      </c>
      <c r="O281" t="inlineStr">
        <is>
          <t>Yes</t>
        </is>
      </c>
      <c r="P281" t="inlineStr">
        <is>
          <t>USG</t>
        </is>
      </c>
      <c r="Q281" t="inlineStr">
        <is>
          <t>Scan Findings (USG)</t>
        </is>
      </c>
      <c r="S281" t="inlineStr">
        <is>
          <t>—</t>
        </is>
      </c>
      <c r="T281" t="inlineStr">
        <is>
          <t>—</t>
        </is>
      </c>
      <c r="U281" t="inlineStr">
        <is>
          <t>—</t>
        </is>
      </c>
      <c r="V281" t="inlineStr">
        <is>
          <t>No</t>
        </is>
      </c>
      <c r="W281" t="inlineStr">
        <is>
          <t>No</t>
        </is>
      </c>
      <c r="X281" t="inlineStr">
        <is>
          <t>M</t>
        </is>
      </c>
    </row>
    <row r="282" ht="16" customHeight="1">
      <c r="A282" t="n">
        <v>281</v>
      </c>
      <c r="B282" t="inlineStr">
        <is>
          <t>Seminal Vesicles</t>
        </is>
      </c>
      <c r="C282" t="inlineStr">
        <is>
          <t>USG: Seminal Vesicles</t>
        </is>
      </c>
      <c r="D282" t="inlineStr">
        <is>
          <t>Minor</t>
        </is>
      </c>
      <c r="O282" t="inlineStr">
        <is>
          <t>Yes</t>
        </is>
      </c>
      <c r="P282" t="inlineStr">
        <is>
          <t>USG</t>
        </is>
      </c>
      <c r="Q282" t="inlineStr">
        <is>
          <t>Scan Findings (USG)</t>
        </is>
      </c>
      <c r="S282" t="inlineStr">
        <is>
          <t>—</t>
        </is>
      </c>
      <c r="T282" t="inlineStr">
        <is>
          <t>—</t>
        </is>
      </c>
      <c r="U282" t="inlineStr">
        <is>
          <t>—</t>
        </is>
      </c>
      <c r="V282" t="inlineStr">
        <is>
          <t>No</t>
        </is>
      </c>
      <c r="W282" t="inlineStr">
        <is>
          <t>No</t>
        </is>
      </c>
      <c r="X282" t="inlineStr">
        <is>
          <t>M</t>
        </is>
      </c>
    </row>
    <row r="283" ht="16" customHeight="1">
      <c r="A283" t="n">
        <v>282</v>
      </c>
      <c r="B283" t="inlineStr">
        <is>
          <t>Pap Smear</t>
        </is>
      </c>
      <c r="C283" t="inlineStr">
        <is>
          <t>Cervical Cancer Screening</t>
        </is>
      </c>
      <c r="D283" t="inlineStr">
        <is>
          <t>Major</t>
        </is>
      </c>
      <c r="N283" t="inlineStr">
        <is>
          <t>Yes</t>
        </is>
      </c>
      <c r="P283" t="inlineStr">
        <is>
          <t>Blood Test</t>
        </is>
      </c>
      <c r="Q283" t="inlineStr">
        <is>
          <t>Blood Report</t>
        </is>
      </c>
      <c r="S283" t="inlineStr">
        <is>
          <t>—</t>
        </is>
      </c>
      <c r="T283" t="inlineStr">
        <is>
          <t>—</t>
        </is>
      </c>
      <c r="U283" t="inlineStr">
        <is>
          <t>—</t>
        </is>
      </c>
      <c r="V283" t="inlineStr">
        <is>
          <t>No</t>
        </is>
      </c>
      <c r="W283" t="inlineStr">
        <is>
          <t>No</t>
        </is>
      </c>
      <c r="X283" t="inlineStr">
        <is>
          <t>F</t>
        </is>
      </c>
    </row>
    <row r="284" ht="16" customHeight="1">
      <c r="A284" t="n">
        <v>283</v>
      </c>
      <c r="B284" t="inlineStr">
        <is>
          <t>HPV DNA Test</t>
        </is>
      </c>
      <c r="C284" t="inlineStr">
        <is>
          <t>HPV Genotype Test</t>
        </is>
      </c>
      <c r="D284" t="inlineStr">
        <is>
          <t>Major</t>
        </is>
      </c>
      <c r="N284" t="inlineStr">
        <is>
          <t>Yes</t>
        </is>
      </c>
      <c r="P284" t="inlineStr">
        <is>
          <t>Blood Test</t>
        </is>
      </c>
      <c r="Q284" t="inlineStr">
        <is>
          <t>Blood Report</t>
        </is>
      </c>
      <c r="S284" t="inlineStr">
        <is>
          <t>—</t>
        </is>
      </c>
      <c r="T284" t="inlineStr">
        <is>
          <t>—</t>
        </is>
      </c>
      <c r="U284" t="inlineStr">
        <is>
          <t>—</t>
        </is>
      </c>
      <c r="V284" t="inlineStr">
        <is>
          <t>No</t>
        </is>
      </c>
      <c r="W284" t="inlineStr">
        <is>
          <t>No</t>
        </is>
      </c>
      <c r="X284" t="inlineStr">
        <is>
          <t>F</t>
        </is>
      </c>
    </row>
    <row r="285" ht="16" customHeight="1">
      <c r="A285" t="n">
        <v>284</v>
      </c>
      <c r="B285" t="inlineStr">
        <is>
          <t>Pelvic Ultrasound</t>
        </is>
      </c>
      <c r="C285" t="inlineStr">
        <is>
          <t>USG: Pelvic Imaging</t>
        </is>
      </c>
      <c r="D285" t="inlineStr">
        <is>
          <t>Minor</t>
        </is>
      </c>
      <c r="N285" t="inlineStr">
        <is>
          <t>Yes</t>
        </is>
      </c>
      <c r="P285" t="inlineStr">
        <is>
          <t>USG</t>
        </is>
      </c>
      <c r="Q285" t="inlineStr">
        <is>
          <t>Scan Findings (USG)</t>
        </is>
      </c>
      <c r="S285" t="inlineStr">
        <is>
          <t>—</t>
        </is>
      </c>
      <c r="T285" t="inlineStr">
        <is>
          <t>—</t>
        </is>
      </c>
      <c r="U285" t="inlineStr">
        <is>
          <t>—</t>
        </is>
      </c>
      <c r="V285" t="inlineStr">
        <is>
          <t>No</t>
        </is>
      </c>
      <c r="W285" t="inlineStr">
        <is>
          <t>No</t>
        </is>
      </c>
      <c r="X285" t="inlineStr">
        <is>
          <t>F</t>
        </is>
      </c>
    </row>
    <row r="286" ht="16" customHeight="1">
      <c r="A286" t="n">
        <v>285</v>
      </c>
      <c r="B286" t="inlineStr">
        <is>
          <t>Uterus</t>
        </is>
      </c>
      <c r="C286" t="inlineStr">
        <is>
          <t>USG: Uterus</t>
        </is>
      </c>
      <c r="D286" t="inlineStr">
        <is>
          <t>Minor</t>
        </is>
      </c>
      <c r="N286" t="inlineStr">
        <is>
          <t>Yes</t>
        </is>
      </c>
      <c r="P286" t="inlineStr">
        <is>
          <t>USG</t>
        </is>
      </c>
      <c r="Q286" t="inlineStr">
        <is>
          <t>Scan Findings (USG)</t>
        </is>
      </c>
      <c r="S286" t="inlineStr">
        <is>
          <t>—</t>
        </is>
      </c>
      <c r="T286" t="inlineStr">
        <is>
          <t>—</t>
        </is>
      </c>
      <c r="U286" t="inlineStr">
        <is>
          <t>—</t>
        </is>
      </c>
      <c r="V286" t="inlineStr">
        <is>
          <t>No</t>
        </is>
      </c>
      <c r="W286" t="inlineStr">
        <is>
          <t>No</t>
        </is>
      </c>
      <c r="X286" t="inlineStr">
        <is>
          <t>F</t>
        </is>
      </c>
    </row>
    <row r="287" ht="16" customHeight="1">
      <c r="A287" t="n">
        <v>286</v>
      </c>
      <c r="B287" t="inlineStr">
        <is>
          <t>Ovaries</t>
        </is>
      </c>
      <c r="C287" t="inlineStr">
        <is>
          <t>USG: Ovaries</t>
        </is>
      </c>
      <c r="D287" t="inlineStr">
        <is>
          <t>Minor</t>
        </is>
      </c>
      <c r="N287" t="inlineStr">
        <is>
          <t>Yes</t>
        </is>
      </c>
      <c r="P287" t="inlineStr">
        <is>
          <t>USG</t>
        </is>
      </c>
      <c r="Q287" t="inlineStr">
        <is>
          <t>Scan Findings (USG)</t>
        </is>
      </c>
      <c r="S287" t="inlineStr">
        <is>
          <t>—</t>
        </is>
      </c>
      <c r="T287" t="inlineStr">
        <is>
          <t>—</t>
        </is>
      </c>
      <c r="U287" t="inlineStr">
        <is>
          <t>—</t>
        </is>
      </c>
      <c r="V287" t="inlineStr">
        <is>
          <t>No</t>
        </is>
      </c>
      <c r="W287" t="inlineStr">
        <is>
          <t>No</t>
        </is>
      </c>
      <c r="X287" t="inlineStr">
        <is>
          <t>F</t>
        </is>
      </c>
    </row>
    <row r="288" ht="16" customHeight="1">
      <c r="A288" t="n">
        <v>287</v>
      </c>
      <c r="B288" t="inlineStr">
        <is>
          <t>Cervix</t>
        </is>
      </c>
      <c r="C288" t="inlineStr">
        <is>
          <t>USG: Cervix</t>
        </is>
      </c>
      <c r="D288" t="inlineStr">
        <is>
          <t>Minor</t>
        </is>
      </c>
      <c r="N288" t="inlineStr">
        <is>
          <t>Yes</t>
        </is>
      </c>
      <c r="P288" t="inlineStr">
        <is>
          <t>USG</t>
        </is>
      </c>
      <c r="Q288" t="inlineStr">
        <is>
          <t>Scan Findings (USG)</t>
        </is>
      </c>
      <c r="S288" t="inlineStr">
        <is>
          <t>—</t>
        </is>
      </c>
      <c r="T288" t="inlineStr">
        <is>
          <t>—</t>
        </is>
      </c>
      <c r="U288" t="inlineStr">
        <is>
          <t>—</t>
        </is>
      </c>
      <c r="V288" t="inlineStr">
        <is>
          <t>No</t>
        </is>
      </c>
      <c r="W288" t="inlineStr">
        <is>
          <t>No</t>
        </is>
      </c>
      <c r="X288" t="inlineStr">
        <is>
          <t>F</t>
        </is>
      </c>
    </row>
    <row r="289" ht="16" customHeight="1">
      <c r="A289" t="n">
        <v>288</v>
      </c>
      <c r="B289" t="inlineStr">
        <is>
          <t>Endometrium</t>
        </is>
      </c>
      <c r="C289" t="inlineStr">
        <is>
          <t>USG: Endometrium</t>
        </is>
      </c>
      <c r="D289" t="inlineStr">
        <is>
          <t>Minor</t>
        </is>
      </c>
      <c r="N289" t="inlineStr">
        <is>
          <t>Yes</t>
        </is>
      </c>
      <c r="P289" t="inlineStr">
        <is>
          <t>USG</t>
        </is>
      </c>
      <c r="Q289" t="inlineStr">
        <is>
          <t>Scan Findings (USG)</t>
        </is>
      </c>
      <c r="S289" t="inlineStr">
        <is>
          <t>—</t>
        </is>
      </c>
      <c r="T289" t="inlineStr">
        <is>
          <t>—</t>
        </is>
      </c>
      <c r="U289" t="inlineStr">
        <is>
          <t>—</t>
        </is>
      </c>
      <c r="V289" t="inlineStr">
        <is>
          <t>No</t>
        </is>
      </c>
      <c r="W289" t="inlineStr">
        <is>
          <t>No</t>
        </is>
      </c>
      <c r="X289" t="inlineStr">
        <is>
          <t>F</t>
        </is>
      </c>
    </row>
    <row r="290" ht="16" customHeight="1">
      <c r="A290" t="n">
        <v>289</v>
      </c>
      <c r="B290" t="inlineStr">
        <is>
          <t>Breast</t>
        </is>
      </c>
      <c r="C290" t="inlineStr">
        <is>
          <t>USG: Breast</t>
        </is>
      </c>
      <c r="D290" t="inlineStr">
        <is>
          <t>Minor</t>
        </is>
      </c>
      <c r="N290" t="inlineStr">
        <is>
          <t>Yes</t>
        </is>
      </c>
      <c r="P290" t="inlineStr">
        <is>
          <t>USG</t>
        </is>
      </c>
      <c r="Q290" t="inlineStr">
        <is>
          <t>Scan Findings (USG)</t>
        </is>
      </c>
      <c r="S290" t="inlineStr">
        <is>
          <t>—</t>
        </is>
      </c>
      <c r="T290" t="inlineStr">
        <is>
          <t>—</t>
        </is>
      </c>
      <c r="U290" t="inlineStr">
        <is>
          <t>—</t>
        </is>
      </c>
      <c r="V290" t="inlineStr">
        <is>
          <t>No</t>
        </is>
      </c>
      <c r="W290" t="inlineStr">
        <is>
          <t>No</t>
        </is>
      </c>
      <c r="X290" t="inlineStr">
        <is>
          <t>F</t>
        </is>
      </c>
    </row>
    <row r="291" ht="16" customHeight="1">
      <c r="A291" t="n">
        <v>290</v>
      </c>
      <c r="B291" t="inlineStr">
        <is>
          <t>Total Fat Mass</t>
        </is>
      </c>
      <c r="C291" t="inlineStr">
        <is>
          <t>Total Fat Mass</t>
        </is>
      </c>
      <c r="D291" t="inlineStr">
        <is>
          <t>Major</t>
        </is>
      </c>
      <c r="F291" t="inlineStr">
        <is>
          <t>Yes</t>
        </is>
      </c>
      <c r="P291" t="inlineStr">
        <is>
          <t>DEXA</t>
        </is>
      </c>
      <c r="Q291" t="inlineStr">
        <is>
          <t>DEXA Report</t>
        </is>
      </c>
      <c r="R291" t="inlineStr">
        <is>
          <t>—</t>
        </is>
      </c>
      <c r="S291" t="inlineStr">
        <is>
          <t>—</t>
        </is>
      </c>
      <c r="T291" t="inlineStr">
        <is>
          <t>—</t>
        </is>
      </c>
      <c r="U291" t="inlineStr">
        <is>
          <t>—</t>
        </is>
      </c>
      <c r="V291" t="inlineStr">
        <is>
          <t>No</t>
        </is>
      </c>
      <c r="W291" t="inlineStr">
        <is>
          <t>No</t>
        </is>
      </c>
      <c r="X291" t="inlineStr">
        <is>
          <t>U</t>
        </is>
      </c>
    </row>
    <row r="292" ht="16" customHeight="1">
      <c r="A292" t="n">
        <v>291</v>
      </c>
      <c r="B292" t="inlineStr">
        <is>
          <t>Visceral Fat Level</t>
        </is>
      </c>
      <c r="C292" t="inlineStr">
        <is>
          <t>Visceral Fat Level</t>
        </is>
      </c>
      <c r="D292" t="inlineStr">
        <is>
          <t>Major</t>
        </is>
      </c>
      <c r="F292" t="inlineStr">
        <is>
          <t>Yes</t>
        </is>
      </c>
      <c r="P292" t="inlineStr">
        <is>
          <t>DEXA</t>
        </is>
      </c>
      <c r="Q292" t="inlineStr">
        <is>
          <t>DEXA Report</t>
        </is>
      </c>
      <c r="R292" t="inlineStr">
        <is>
          <t>&lt;1.0</t>
        </is>
      </c>
      <c r="S292" t="inlineStr">
        <is>
          <t>—</t>
        </is>
      </c>
      <c r="T292" t="inlineStr">
        <is>
          <t>—</t>
        </is>
      </c>
      <c r="U292" t="inlineStr">
        <is>
          <t>—</t>
        </is>
      </c>
      <c r="V292" t="inlineStr">
        <is>
          <t>No</t>
        </is>
      </c>
      <c r="W292" t="inlineStr">
        <is>
          <t>No</t>
        </is>
      </c>
      <c r="X292" t="inlineStr">
        <is>
          <t>U</t>
        </is>
      </c>
    </row>
    <row r="293" ht="16" customHeight="1">
      <c r="A293" t="n">
        <v>292</v>
      </c>
      <c r="B293" t="inlineStr">
        <is>
          <t>Trunk Fat Mass</t>
        </is>
      </c>
      <c r="C293" t="inlineStr">
        <is>
          <t>Trunk Fat Mass</t>
        </is>
      </c>
      <c r="D293" t="inlineStr">
        <is>
          <t>Major</t>
        </is>
      </c>
      <c r="F293" t="inlineStr">
        <is>
          <t>Yes</t>
        </is>
      </c>
      <c r="P293" t="inlineStr">
        <is>
          <t>DEXA</t>
        </is>
      </c>
      <c r="Q293" t="inlineStr">
        <is>
          <t>DEXA Report</t>
        </is>
      </c>
      <c r="R293" t="inlineStr">
        <is>
          <t>—</t>
        </is>
      </c>
      <c r="S293" t="inlineStr">
        <is>
          <t>—</t>
        </is>
      </c>
      <c r="T293" t="inlineStr">
        <is>
          <t>—</t>
        </is>
      </c>
      <c r="U293" t="inlineStr">
        <is>
          <t>—</t>
        </is>
      </c>
      <c r="V293" t="inlineStr">
        <is>
          <t>No</t>
        </is>
      </c>
      <c r="W293" t="inlineStr">
        <is>
          <t>No</t>
        </is>
      </c>
      <c r="X293" t="inlineStr">
        <is>
          <t>U</t>
        </is>
      </c>
    </row>
    <row r="294" ht="16" customHeight="1">
      <c r="A294" t="n">
        <v>293</v>
      </c>
      <c r="B294" t="inlineStr">
        <is>
          <t>Total Lean Mass</t>
        </is>
      </c>
      <c r="C294" t="inlineStr">
        <is>
          <t>Total Lean Mass</t>
        </is>
      </c>
      <c r="D294" t="inlineStr">
        <is>
          <t>Major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DEXA</t>
        </is>
      </c>
      <c r="Q294" t="inlineStr">
        <is>
          <t>DEXA Report</t>
        </is>
      </c>
      <c r="R294" t="inlineStr">
        <is>
          <t>—</t>
        </is>
      </c>
      <c r="S294" t="inlineStr">
        <is>
          <t>—</t>
        </is>
      </c>
      <c r="T294" t="inlineStr">
        <is>
          <t>—</t>
        </is>
      </c>
      <c r="U294" t="inlineStr">
        <is>
          <t>—</t>
        </is>
      </c>
      <c r="V294" t="inlineStr">
        <is>
          <t>No</t>
        </is>
      </c>
      <c r="W294" t="inlineStr">
        <is>
          <t>No</t>
        </is>
      </c>
      <c r="X294" t="inlineStr">
        <is>
          <t>U</t>
        </is>
      </c>
    </row>
    <row r="295" ht="16" customHeight="1">
      <c r="A295" t="n">
        <v>294</v>
      </c>
      <c r="B295" t="inlineStr">
        <is>
          <t>Trunk Lean</t>
        </is>
      </c>
      <c r="C295" t="inlineStr">
        <is>
          <t>Trunk Lean</t>
        </is>
      </c>
      <c r="D295" t="inlineStr">
        <is>
          <t>Major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DEXA</t>
        </is>
      </c>
      <c r="Q295" t="inlineStr">
        <is>
          <t>DEXA Report</t>
        </is>
      </c>
      <c r="R295" t="inlineStr">
        <is>
          <t>—</t>
        </is>
      </c>
      <c r="S295" t="inlineStr">
        <is>
          <t>—</t>
        </is>
      </c>
      <c r="T295" t="inlineStr">
        <is>
          <t>—</t>
        </is>
      </c>
      <c r="U295" t="inlineStr">
        <is>
          <t>—</t>
        </is>
      </c>
      <c r="V295" t="inlineStr">
        <is>
          <t>No</t>
        </is>
      </c>
      <c r="W295" t="inlineStr">
        <is>
          <t>No</t>
        </is>
      </c>
      <c r="X295" t="inlineStr">
        <is>
          <t>U</t>
        </is>
      </c>
    </row>
    <row r="296" ht="16" customHeight="1">
      <c r="A296" t="n">
        <v>295</v>
      </c>
      <c r="B296" t="inlineStr">
        <is>
          <t>Appendicular Lean Mass</t>
        </is>
      </c>
      <c r="C296" t="inlineStr">
        <is>
          <t>Appendicular Lean Mass</t>
        </is>
      </c>
      <c r="D296" t="inlineStr">
        <is>
          <t>Major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DEXA</t>
        </is>
      </c>
      <c r="Q296" t="inlineStr">
        <is>
          <t>DEXA Report</t>
        </is>
      </c>
      <c r="R296" t="inlineStr">
        <is>
          <t>—</t>
        </is>
      </c>
      <c r="S296" t="inlineStr">
        <is>
          <t>—</t>
        </is>
      </c>
      <c r="T296" t="inlineStr">
        <is>
          <t>—</t>
        </is>
      </c>
      <c r="U296" t="inlineStr">
        <is>
          <t>—</t>
        </is>
      </c>
      <c r="V296" t="inlineStr">
        <is>
          <t>No</t>
        </is>
      </c>
      <c r="W296" t="inlineStr">
        <is>
          <t>No</t>
        </is>
      </c>
      <c r="X296" t="inlineStr">
        <is>
          <t>U</t>
        </is>
      </c>
    </row>
    <row r="297" ht="16" customHeight="1">
      <c r="A297" t="n">
        <v>296</v>
      </c>
      <c r="B297" t="inlineStr">
        <is>
          <t>Fat Free Mass</t>
        </is>
      </c>
      <c r="C297" t="inlineStr">
        <is>
          <t>Fat Free Mass</t>
        </is>
      </c>
      <c r="D297" t="inlineStr">
        <is>
          <t>Major</t>
        </is>
      </c>
      <c r="F297" t="inlineStr">
        <is>
          <t>Yes</t>
        </is>
      </c>
      <c r="P297" t="inlineStr">
        <is>
          <t>DEXA</t>
        </is>
      </c>
      <c r="Q297" t="inlineStr">
        <is>
          <t>DEXA Report</t>
        </is>
      </c>
      <c r="R297" t="inlineStr">
        <is>
          <t>—</t>
        </is>
      </c>
      <c r="S297" t="inlineStr">
        <is>
          <t>—</t>
        </is>
      </c>
      <c r="T297" t="inlineStr">
        <is>
          <t>—</t>
        </is>
      </c>
      <c r="U297" t="inlineStr">
        <is>
          <t>—</t>
        </is>
      </c>
      <c r="V297" t="inlineStr">
        <is>
          <t>No</t>
        </is>
      </c>
      <c r="W297" t="inlineStr">
        <is>
          <t>No</t>
        </is>
      </c>
      <c r="X297" t="inlineStr">
        <is>
          <t>U</t>
        </is>
      </c>
    </row>
    <row r="298" ht="16" customHeight="1">
      <c r="A298" t="n">
        <v>297</v>
      </c>
      <c r="B298" t="inlineStr">
        <is>
          <t>LM Agatston Score</t>
        </is>
      </c>
      <c r="C298" t="inlineStr">
        <is>
          <t>LM Agatston Score</t>
        </is>
      </c>
      <c r="D298" t="inlineStr">
        <is>
          <t>Major</t>
        </is>
      </c>
      <c r="E298" t="inlineStr">
        <is>
          <t>Yes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Calcium Score</t>
        </is>
      </c>
      <c r="Q298" t="inlineStr">
        <is>
          <t>Calcium Score Report</t>
        </is>
      </c>
      <c r="R298" t="inlineStr">
        <is>
          <t>0</t>
        </is>
      </c>
      <c r="S298" t="inlineStr">
        <is>
          <t>—</t>
        </is>
      </c>
      <c r="T298" t="inlineStr">
        <is>
          <t>—</t>
        </is>
      </c>
      <c r="U298" t="inlineStr">
        <is>
          <t>—</t>
        </is>
      </c>
      <c r="V298" t="inlineStr">
        <is>
          <t>No</t>
        </is>
      </c>
      <c r="W298" t="inlineStr">
        <is>
          <t>No</t>
        </is>
      </c>
      <c r="X298" t="inlineStr">
        <is>
          <t>U</t>
        </is>
      </c>
    </row>
    <row r="299" ht="16" customHeight="1">
      <c r="A299" t="n">
        <v>298</v>
      </c>
      <c r="B299" t="inlineStr">
        <is>
          <t>LCK Agatston Score</t>
        </is>
      </c>
      <c r="C299" t="inlineStr">
        <is>
          <t>LCK Agatston Score</t>
        </is>
      </c>
      <c r="D299" t="inlineStr">
        <is>
          <t>Major</t>
        </is>
      </c>
      <c r="E299" t="inlineStr">
        <is>
          <t>Yes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Calcium Score</t>
        </is>
      </c>
      <c r="Q299" t="inlineStr">
        <is>
          <t>Calcium Score Report</t>
        </is>
      </c>
      <c r="R299" t="inlineStr">
        <is>
          <t>0</t>
        </is>
      </c>
      <c r="S299" t="inlineStr">
        <is>
          <t>—</t>
        </is>
      </c>
      <c r="T299" t="inlineStr">
        <is>
          <t>—</t>
        </is>
      </c>
      <c r="U299" t="inlineStr">
        <is>
          <t>—</t>
        </is>
      </c>
      <c r="V299" t="inlineStr">
        <is>
          <t>No</t>
        </is>
      </c>
      <c r="W299" t="inlineStr">
        <is>
          <t>No</t>
        </is>
      </c>
      <c r="X299" t="inlineStr">
        <is>
          <t>U</t>
        </is>
      </c>
    </row>
    <row r="300" ht="16" customHeight="1">
      <c r="A300" t="n">
        <v>299</v>
      </c>
      <c r="B300" t="inlineStr">
        <is>
          <t>LAD Agatston Score</t>
        </is>
      </c>
      <c r="C300" t="inlineStr">
        <is>
          <t>LAD Agatston Score</t>
        </is>
      </c>
      <c r="D300" t="inlineStr">
        <is>
          <t>Major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Calcium Score</t>
        </is>
      </c>
      <c r="Q300" t="inlineStr">
        <is>
          <t>Calcium Score Report</t>
        </is>
      </c>
      <c r="R300" t="inlineStr">
        <is>
          <t>0</t>
        </is>
      </c>
      <c r="S300" t="inlineStr">
        <is>
          <t>—</t>
        </is>
      </c>
      <c r="T300" t="inlineStr">
        <is>
          <t>—</t>
        </is>
      </c>
      <c r="U300" t="inlineStr">
        <is>
          <t>—</t>
        </is>
      </c>
      <c r="V300" t="inlineStr">
        <is>
          <t>No</t>
        </is>
      </c>
      <c r="W300" t="inlineStr">
        <is>
          <t>No</t>
        </is>
      </c>
      <c r="X300" t="inlineStr">
        <is>
          <t>U</t>
        </is>
      </c>
    </row>
    <row r="301" ht="16" customHeight="1">
      <c r="A301" t="n">
        <v>300</v>
      </c>
      <c r="B301" t="inlineStr">
        <is>
          <t>RCA Agatston Score</t>
        </is>
      </c>
      <c r="C301" t="inlineStr">
        <is>
          <t>RCA Agatston Score</t>
        </is>
      </c>
      <c r="D301" t="inlineStr">
        <is>
          <t>Major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Calcium Score</t>
        </is>
      </c>
      <c r="Q301" t="inlineStr">
        <is>
          <t>Calcium Score Report</t>
        </is>
      </c>
      <c r="R301" t="inlineStr">
        <is>
          <t>0</t>
        </is>
      </c>
      <c r="S301" t="inlineStr">
        <is>
          <t>—</t>
        </is>
      </c>
      <c r="T301" t="inlineStr">
        <is>
          <t>—</t>
        </is>
      </c>
      <c r="U301" t="inlineStr">
        <is>
          <t>—</t>
        </is>
      </c>
      <c r="V301" t="inlineStr">
        <is>
          <t>No</t>
        </is>
      </c>
      <c r="W301" t="inlineStr">
        <is>
          <t>No</t>
        </is>
      </c>
      <c r="X301" t="inlineStr">
        <is>
          <t>U</t>
        </is>
      </c>
    </row>
    <row r="302" ht="16" customHeight="1">
      <c r="A302" t="n">
        <v>301</v>
      </c>
      <c r="B302" t="inlineStr">
        <is>
          <t>LM Calcified Plaques</t>
        </is>
      </c>
      <c r="C302" t="inlineStr">
        <is>
          <t>LM Calcified Plaques</t>
        </is>
      </c>
      <c r="D302" t="inlineStr">
        <is>
          <t>Major</t>
        </is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Calcium Score</t>
        </is>
      </c>
      <c r="Q302" t="inlineStr">
        <is>
          <t>Calcium Score Report</t>
        </is>
      </c>
      <c r="R302" t="inlineStr">
        <is>
          <t>None</t>
        </is>
      </c>
      <c r="S302" t="inlineStr">
        <is>
          <t>—</t>
        </is>
      </c>
      <c r="T302" t="inlineStr">
        <is>
          <t>—</t>
        </is>
      </c>
      <c r="U302" t="inlineStr">
        <is>
          <t>—</t>
        </is>
      </c>
      <c r="V302" t="inlineStr">
        <is>
          <t>No</t>
        </is>
      </c>
      <c r="W302" t="inlineStr">
        <is>
          <t>No</t>
        </is>
      </c>
      <c r="X302" t="inlineStr">
        <is>
          <t>U</t>
        </is>
      </c>
    </row>
    <row r="303" ht="16" customHeight="1">
      <c r="A303" t="n">
        <v>302</v>
      </c>
      <c r="B303" t="inlineStr">
        <is>
          <t>LCK Calcified Plaques</t>
        </is>
      </c>
      <c r="C303" t="inlineStr">
        <is>
          <t>LCK Calcified Plaques</t>
        </is>
      </c>
      <c r="D303" t="inlineStr">
        <is>
          <t>Major</t>
        </is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Calcium Score</t>
        </is>
      </c>
      <c r="Q303" t="inlineStr">
        <is>
          <t>Calcium Score Report</t>
        </is>
      </c>
      <c r="R303" t="inlineStr">
        <is>
          <t>None</t>
        </is>
      </c>
      <c r="S303" t="inlineStr">
        <is>
          <t>—</t>
        </is>
      </c>
      <c r="T303" t="inlineStr">
        <is>
          <t>—</t>
        </is>
      </c>
      <c r="U303" t="inlineStr">
        <is>
          <t>—</t>
        </is>
      </c>
      <c r="V303" t="inlineStr">
        <is>
          <t>No</t>
        </is>
      </c>
      <c r="W303" t="inlineStr">
        <is>
          <t>No</t>
        </is>
      </c>
      <c r="X303" t="inlineStr">
        <is>
          <t>U</t>
        </is>
      </c>
    </row>
    <row r="304" ht="16" customHeight="1">
      <c r="A304" t="n">
        <v>303</v>
      </c>
      <c r="B304" t="inlineStr">
        <is>
          <t>LAD Calcified Plaques</t>
        </is>
      </c>
      <c r="C304" t="inlineStr">
        <is>
          <t>LAD Calcified Plaques</t>
        </is>
      </c>
      <c r="D304" t="inlineStr">
        <is>
          <t>Major</t>
        </is>
      </c>
      <c r="E304" t="inlineStr">
        <is>
          <t>Yes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Calcium Score</t>
        </is>
      </c>
      <c r="Q304" t="inlineStr">
        <is>
          <t>Calcium Score Report</t>
        </is>
      </c>
      <c r="R304" t="inlineStr">
        <is>
          <t>None</t>
        </is>
      </c>
      <c r="S304" t="inlineStr">
        <is>
          <t>—</t>
        </is>
      </c>
      <c r="T304" t="inlineStr">
        <is>
          <t>—</t>
        </is>
      </c>
      <c r="U304" t="inlineStr">
        <is>
          <t>—</t>
        </is>
      </c>
      <c r="V304" t="inlineStr">
        <is>
          <t>No</t>
        </is>
      </c>
      <c r="W304" t="inlineStr">
        <is>
          <t>No</t>
        </is>
      </c>
      <c r="X304" t="inlineStr">
        <is>
          <t>U</t>
        </is>
      </c>
    </row>
    <row r="305" ht="16" customHeight="1">
      <c r="A305" t="n">
        <v>304</v>
      </c>
      <c r="B305" t="inlineStr">
        <is>
          <t>RCA Calcified Plaques</t>
        </is>
      </c>
      <c r="C305" t="inlineStr">
        <is>
          <t>RCA Calcified Plaques</t>
        </is>
      </c>
      <c r="D305" t="inlineStr">
        <is>
          <t>Major</t>
        </is>
      </c>
      <c r="E305" t="inlineStr">
        <is>
          <t>Yes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Calcium Score</t>
        </is>
      </c>
      <c r="Q305" t="inlineStr">
        <is>
          <t>Calcium Score Report</t>
        </is>
      </c>
      <c r="R305" t="inlineStr">
        <is>
          <t>None</t>
        </is>
      </c>
      <c r="S305" t="inlineStr">
        <is>
          <t>—</t>
        </is>
      </c>
      <c r="T305" t="inlineStr">
        <is>
          <t>—</t>
        </is>
      </c>
      <c r="U305" t="inlineStr">
        <is>
          <t>—</t>
        </is>
      </c>
      <c r="V305" t="inlineStr">
        <is>
          <t>No</t>
        </is>
      </c>
      <c r="W305" t="inlineStr">
        <is>
          <t>No</t>
        </is>
      </c>
      <c r="X305" t="inlineStr">
        <is>
          <t>U</t>
        </is>
      </c>
    </row>
    <row r="306" ht="16" customHeight="1">
      <c r="A306" t="n">
        <v>305</v>
      </c>
      <c r="B306" t="inlineStr">
        <is>
          <t>LM Volume (mm³)</t>
        </is>
      </c>
      <c r="C306" t="inlineStr">
        <is>
          <t>LM Volume (mm³)</t>
        </is>
      </c>
      <c r="D306" t="inlineStr">
        <is>
          <t>Major</t>
        </is>
      </c>
      <c r="E306" t="inlineStr">
        <is>
          <t>Yes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Calcium Score</t>
        </is>
      </c>
      <c r="Q306" t="inlineStr">
        <is>
          <t>Calcium Score Report</t>
        </is>
      </c>
      <c r="R306" t="inlineStr">
        <is>
          <t>0</t>
        </is>
      </c>
      <c r="S306" t="inlineStr">
        <is>
          <t>—</t>
        </is>
      </c>
      <c r="T306" t="inlineStr">
        <is>
          <t>—</t>
        </is>
      </c>
      <c r="U306" t="inlineStr">
        <is>
          <t>—</t>
        </is>
      </c>
      <c r="V306" t="inlineStr">
        <is>
          <t>No</t>
        </is>
      </c>
      <c r="W306" t="inlineStr">
        <is>
          <t>No</t>
        </is>
      </c>
      <c r="X306" t="inlineStr">
        <is>
          <t>U</t>
        </is>
      </c>
    </row>
    <row r="307" ht="16" customHeight="1">
      <c r="A307" t="n">
        <v>306</v>
      </c>
      <c r="B307" t="inlineStr">
        <is>
          <t>LCK Volume (mm³)</t>
        </is>
      </c>
      <c r="C307" t="inlineStr">
        <is>
          <t>LCK Volume (mm³)</t>
        </is>
      </c>
      <c r="D307" t="inlineStr">
        <is>
          <t>Major</t>
        </is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Calcium Score</t>
        </is>
      </c>
      <c r="Q307" t="inlineStr">
        <is>
          <t>Calcium Score Report</t>
        </is>
      </c>
      <c r="R307" t="inlineStr">
        <is>
          <t>0</t>
        </is>
      </c>
      <c r="S307" t="inlineStr">
        <is>
          <t>—</t>
        </is>
      </c>
      <c r="T307" t="inlineStr">
        <is>
          <t>—</t>
        </is>
      </c>
      <c r="U307" t="inlineStr">
        <is>
          <t>—</t>
        </is>
      </c>
      <c r="V307" t="inlineStr">
        <is>
          <t>No</t>
        </is>
      </c>
      <c r="W307" t="inlineStr">
        <is>
          <t>No</t>
        </is>
      </c>
      <c r="X307" t="inlineStr">
        <is>
          <t>U</t>
        </is>
      </c>
    </row>
    <row r="308" ht="16" customHeight="1">
      <c r="A308" t="n">
        <v>307</v>
      </c>
      <c r="B308" t="inlineStr">
        <is>
          <t>LAD Volume (mm³)</t>
        </is>
      </c>
      <c r="C308" t="inlineStr">
        <is>
          <t>LAD Volume (mm³)</t>
        </is>
      </c>
      <c r="D308" t="inlineStr">
        <is>
          <t>Major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Calcium Score</t>
        </is>
      </c>
      <c r="Q308" t="inlineStr">
        <is>
          <t>Calcium Score Report</t>
        </is>
      </c>
      <c r="R308" t="inlineStr">
        <is>
          <t>0</t>
        </is>
      </c>
      <c r="S308" t="inlineStr">
        <is>
          <t>—</t>
        </is>
      </c>
      <c r="T308" t="inlineStr">
        <is>
          <t>—</t>
        </is>
      </c>
      <c r="U308" t="inlineStr">
        <is>
          <t>—</t>
        </is>
      </c>
      <c r="V308" t="inlineStr">
        <is>
          <t>No</t>
        </is>
      </c>
      <c r="W308" t="inlineStr">
        <is>
          <t>No</t>
        </is>
      </c>
      <c r="X308" t="inlineStr">
        <is>
          <t>U</t>
        </is>
      </c>
    </row>
    <row r="309" ht="16" customHeight="1">
      <c r="A309" t="n">
        <v>308</v>
      </c>
      <c r="B309" t="inlineStr">
        <is>
          <t>RCA Volume (mm³)</t>
        </is>
      </c>
      <c r="C309" t="inlineStr">
        <is>
          <t>RCA Volume (mm³)</t>
        </is>
      </c>
      <c r="D309" t="inlineStr">
        <is>
          <t>Major</t>
        </is>
      </c>
      <c r="E309" t="inlineStr">
        <is>
          <t>Yes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Calcium Score</t>
        </is>
      </c>
      <c r="Q309" t="inlineStr">
        <is>
          <t>Calcium Score Report</t>
        </is>
      </c>
      <c r="R309" t="inlineStr">
        <is>
          <t>0</t>
        </is>
      </c>
      <c r="S309" t="inlineStr">
        <is>
          <t>—</t>
        </is>
      </c>
      <c r="T309" t="inlineStr">
        <is>
          <t>—</t>
        </is>
      </c>
      <c r="U309" t="inlineStr">
        <is>
          <t>—</t>
        </is>
      </c>
      <c r="V309" t="inlineStr">
        <is>
          <t>No</t>
        </is>
      </c>
      <c r="W309" t="inlineStr">
        <is>
          <t>No</t>
        </is>
      </c>
      <c r="X309" t="inlineStr">
        <is>
          <t>U</t>
        </is>
      </c>
    </row>
    <row r="310" ht="16" customHeight="1">
      <c r="A310" t="n">
        <v>309</v>
      </c>
      <c r="B310" t="inlineStr">
        <is>
          <t>Liver Outline &amp; Size</t>
        </is>
      </c>
      <c r="C310" t="inlineStr">
        <is>
          <t>Liver Outline &amp; Size</t>
        </is>
      </c>
      <c r="D310" t="inlineStr">
        <is>
          <t>Major</t>
        </is>
      </c>
      <c r="E310" t="inlineStr">
        <is>
          <t>No</t>
        </is>
      </c>
      <c r="F310" t="inlineStr">
        <is>
          <t>No</t>
        </is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USG</t>
        </is>
      </c>
      <c r="Q310" t="inlineStr">
        <is>
          <t>Scan Findings (USG)</t>
        </is>
      </c>
      <c r="R310" t="inlineStr">
        <is>
          <t>Normal</t>
        </is>
      </c>
      <c r="S310" t="inlineStr">
        <is>
          <t>—</t>
        </is>
      </c>
      <c r="T310" t="inlineStr">
        <is>
          <t>—</t>
        </is>
      </c>
      <c r="U310" t="inlineStr">
        <is>
          <t>—</t>
        </is>
      </c>
      <c r="V310" t="inlineStr">
        <is>
          <t>No</t>
        </is>
      </c>
      <c r="W310" t="inlineStr">
        <is>
          <t>No</t>
        </is>
      </c>
      <c r="X310" t="inlineStr">
        <is>
          <t>U</t>
        </is>
      </c>
    </row>
    <row r="311" ht="16" customHeight="1">
      <c r="A311" t="n">
        <v>310</v>
      </c>
      <c r="B311" t="inlineStr">
        <is>
          <t>Liver: Focal changes</t>
        </is>
      </c>
      <c r="C311" t="inlineStr">
        <is>
          <t>Liver: Focal changes</t>
        </is>
      </c>
      <c r="D311" t="inlineStr">
        <is>
          <t>Major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USG</t>
        </is>
      </c>
      <c r="Q311" t="inlineStr">
        <is>
          <t>Scan Findings (USG)</t>
        </is>
      </c>
      <c r="R311" t="inlineStr">
        <is>
          <t>None</t>
        </is>
      </c>
      <c r="S311" t="inlineStr">
        <is>
          <t>—</t>
        </is>
      </c>
      <c r="T311" t="inlineStr">
        <is>
          <t>—</t>
        </is>
      </c>
      <c r="U311" t="inlineStr">
        <is>
          <t>—</t>
        </is>
      </c>
      <c r="V311" t="inlineStr">
        <is>
          <t>No</t>
        </is>
      </c>
      <c r="W311" t="inlineStr">
        <is>
          <t>No</t>
        </is>
      </c>
      <c r="X311" t="inlineStr">
        <is>
          <t>U</t>
        </is>
      </c>
    </row>
    <row r="312" ht="16" customHeight="1">
      <c r="A312" t="n">
        <v>311</v>
      </c>
      <c r="B312" t="inlineStr">
        <is>
          <t>Liver: Portal vein</t>
        </is>
      </c>
      <c r="C312" t="inlineStr">
        <is>
          <t>Liver: Portal vein</t>
        </is>
      </c>
      <c r="D312" t="inlineStr">
        <is>
          <t>Major</t>
        </is>
      </c>
      <c r="E312" t="inlineStr">
        <is>
          <t>No</t>
        </is>
      </c>
      <c r="F312" t="inlineStr">
        <is>
          <t>No</t>
        </is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USG</t>
        </is>
      </c>
      <c r="Q312" t="inlineStr">
        <is>
          <t>Scan Findings (USG)</t>
        </is>
      </c>
      <c r="R312" t="inlineStr">
        <is>
          <t>Normal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No</t>
        </is>
      </c>
      <c r="W312" t="inlineStr">
        <is>
          <t>No</t>
        </is>
      </c>
      <c r="X312" t="inlineStr">
        <is>
          <t>U</t>
        </is>
      </c>
    </row>
    <row r="313" ht="16" customHeight="1">
      <c r="A313" t="n">
        <v>312</v>
      </c>
      <c r="B313" t="inlineStr">
        <is>
          <t>Liver: Hepatic veins</t>
        </is>
      </c>
      <c r="C313" t="inlineStr">
        <is>
          <t>Liver: Hepatic veins</t>
        </is>
      </c>
      <c r="D313" t="inlineStr">
        <is>
          <t>Major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USG</t>
        </is>
      </c>
      <c r="Q313" t="inlineStr">
        <is>
          <t>Scan Findings (USG)</t>
        </is>
      </c>
      <c r="R313" t="inlineStr">
        <is>
          <t>Normal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No</t>
        </is>
      </c>
      <c r="W313" t="inlineStr">
        <is>
          <t>No</t>
        </is>
      </c>
      <c r="X313" t="inlineStr">
        <is>
          <t>U</t>
        </is>
      </c>
    </row>
    <row r="314" ht="16" customHeight="1">
      <c r="A314" t="n">
        <v>313</v>
      </c>
      <c r="B314" t="inlineStr">
        <is>
          <t>Gallbladder size</t>
        </is>
      </c>
      <c r="C314" t="inlineStr">
        <is>
          <t>Gallbladder size</t>
        </is>
      </c>
      <c r="D314" t="inlineStr">
        <is>
          <t>Major</t>
        </is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USG</t>
        </is>
      </c>
      <c r="Q314" t="inlineStr">
        <is>
          <t>Scan Findings (USG)</t>
        </is>
      </c>
      <c r="R314" t="inlineStr">
        <is>
          <t>Normal</t>
        </is>
      </c>
      <c r="S314" t="inlineStr">
        <is>
          <t>—</t>
        </is>
      </c>
      <c r="T314" t="inlineStr">
        <is>
          <t>—</t>
        </is>
      </c>
      <c r="U314" t="inlineStr">
        <is>
          <t>—</t>
        </is>
      </c>
      <c r="V314" t="inlineStr">
        <is>
          <t>No</t>
        </is>
      </c>
      <c r="W314" t="inlineStr">
        <is>
          <t>No</t>
        </is>
      </c>
      <c r="X314" t="inlineStr">
        <is>
          <t>U</t>
        </is>
      </c>
    </row>
    <row r="315" ht="16" customHeight="1">
      <c r="A315" t="n">
        <v>314</v>
      </c>
      <c r="B315" t="inlineStr">
        <is>
          <t>Gallbladder wall</t>
        </is>
      </c>
      <c r="C315" t="inlineStr">
        <is>
          <t>Gallbladder wall</t>
        </is>
      </c>
      <c r="D315" t="inlineStr">
        <is>
          <t>Major</t>
        </is>
      </c>
      <c r="E315" t="inlineStr">
        <is>
          <t>No</t>
        </is>
      </c>
      <c r="F315" t="inlineStr">
        <is>
          <t>No</t>
        </is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USG</t>
        </is>
      </c>
      <c r="Q315" t="inlineStr">
        <is>
          <t>Scan Findings (USG)</t>
        </is>
      </c>
      <c r="R315" t="inlineStr">
        <is>
          <t>Normal</t>
        </is>
      </c>
      <c r="S315" t="inlineStr">
        <is>
          <t>—</t>
        </is>
      </c>
      <c r="T315" t="inlineStr">
        <is>
          <t>—</t>
        </is>
      </c>
      <c r="U315" t="inlineStr">
        <is>
          <t>—</t>
        </is>
      </c>
      <c r="V315" t="inlineStr">
        <is>
          <t>No</t>
        </is>
      </c>
      <c r="W315" t="inlineStr">
        <is>
          <t>No</t>
        </is>
      </c>
      <c r="X315" t="inlineStr">
        <is>
          <t>U</t>
        </is>
      </c>
    </row>
    <row r="316" ht="16" customHeight="1">
      <c r="A316" t="n">
        <v>315</v>
      </c>
      <c r="B316" t="inlineStr">
        <is>
          <t>CBD (Common Bile Duct)</t>
        </is>
      </c>
      <c r="C316" t="inlineStr">
        <is>
          <t>CBD (Common Bile Duct)</t>
        </is>
      </c>
      <c r="D316" t="inlineStr">
        <is>
          <t>Major</t>
        </is>
      </c>
      <c r="E316" t="inlineStr">
        <is>
          <t>No</t>
        </is>
      </c>
      <c r="F316" t="inlineStr">
        <is>
          <t>No</t>
        </is>
      </c>
      <c r="G316" t="inlineStr">
        <is>
          <t>Yes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USG</t>
        </is>
      </c>
      <c r="Q316" t="inlineStr">
        <is>
          <t>Scan Findings (USG)</t>
        </is>
      </c>
      <c r="R316" t="inlineStr">
        <is>
          <t>&lt;6</t>
        </is>
      </c>
      <c r="S316" t="inlineStr">
        <is>
          <t>—</t>
        </is>
      </c>
      <c r="T316" t="inlineStr">
        <is>
          <t>—</t>
        </is>
      </c>
      <c r="U316" t="inlineStr">
        <is>
          <t>—</t>
        </is>
      </c>
      <c r="V316" t="inlineStr">
        <is>
          <t>No</t>
        </is>
      </c>
      <c r="W316" t="inlineStr">
        <is>
          <t>No</t>
        </is>
      </c>
      <c r="X316" t="inlineStr">
        <is>
          <t>U</t>
        </is>
      </c>
    </row>
    <row r="317" ht="16" customHeight="1">
      <c r="A317" t="n">
        <v>316</v>
      </c>
      <c r="B317" t="inlineStr">
        <is>
          <t>Abdominal Lymph nodes</t>
        </is>
      </c>
      <c r="C317" t="inlineStr">
        <is>
          <t>Abdominal Lymph nodes</t>
        </is>
      </c>
      <c r="D317" t="inlineStr">
        <is>
          <t>Major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USG</t>
        </is>
      </c>
      <c r="Q317" t="inlineStr">
        <is>
          <t>Scan Findings (USG)</t>
        </is>
      </c>
      <c r="R317" t="inlineStr">
        <is>
          <t>Normal</t>
        </is>
      </c>
      <c r="S317" t="inlineStr">
        <is>
          <t>—</t>
        </is>
      </c>
      <c r="T317" t="inlineStr">
        <is>
          <t>—</t>
        </is>
      </c>
      <c r="U317" t="inlineStr">
        <is>
          <t>—</t>
        </is>
      </c>
      <c r="V317" t="inlineStr">
        <is>
          <t>No</t>
        </is>
      </c>
      <c r="W317" t="inlineStr">
        <is>
          <t>No</t>
        </is>
      </c>
      <c r="X317" t="inlineStr">
        <is>
          <t>U</t>
        </is>
      </c>
    </row>
    <row r="318" ht="16" customHeight="1">
      <c r="A318" t="n">
        <v>317</v>
      </c>
      <c r="B318" t="inlineStr">
        <is>
          <t>Thyroid Volume</t>
        </is>
      </c>
      <c r="C318" t="inlineStr">
        <is>
          <t>Thyroid Volume</t>
        </is>
      </c>
      <c r="D318" t="inlineStr">
        <is>
          <t>Major</t>
        </is>
      </c>
      <c r="F318" t="inlineStr">
        <is>
          <t>Yes</t>
        </is>
      </c>
      <c r="P318" t="inlineStr">
        <is>
          <t>USG</t>
        </is>
      </c>
      <c r="Q318" t="inlineStr">
        <is>
          <t>Scan Findings (USG)</t>
        </is>
      </c>
      <c r="R318" t="inlineStr">
        <is>
          <t>Normal</t>
        </is>
      </c>
      <c r="S318" t="inlineStr">
        <is>
          <t>—</t>
        </is>
      </c>
      <c r="T318" t="inlineStr">
        <is>
          <t>—</t>
        </is>
      </c>
      <c r="U318" t="inlineStr">
        <is>
          <t>—</t>
        </is>
      </c>
      <c r="V318" t="inlineStr">
        <is>
          <t>No</t>
        </is>
      </c>
      <c r="W318" t="inlineStr">
        <is>
          <t>No</t>
        </is>
      </c>
      <c r="X318" t="inlineStr">
        <is>
          <t>U</t>
        </is>
      </c>
    </row>
    <row r="319" ht="16" customHeight="1">
      <c r="A319" t="n">
        <v>318</v>
      </c>
      <c r="B319" t="inlineStr">
        <is>
          <t>Thyroid Lesions</t>
        </is>
      </c>
      <c r="C319" t="inlineStr">
        <is>
          <t>Thyroid Lesions</t>
        </is>
      </c>
      <c r="D319" t="inlineStr">
        <is>
          <t>Major</t>
        </is>
      </c>
      <c r="F319" t="inlineStr">
        <is>
          <t>Yes</t>
        </is>
      </c>
      <c r="P319" t="inlineStr">
        <is>
          <t>USG</t>
        </is>
      </c>
      <c r="Q319" t="inlineStr">
        <is>
          <t>Scan Findings (USG)</t>
        </is>
      </c>
      <c r="R319" t="inlineStr">
        <is>
          <t>None</t>
        </is>
      </c>
      <c r="S319" t="inlineStr">
        <is>
          <t>—</t>
        </is>
      </c>
      <c r="T319" t="inlineStr">
        <is>
          <t>—</t>
        </is>
      </c>
      <c r="U319" t="inlineStr">
        <is>
          <t>—</t>
        </is>
      </c>
      <c r="V319" t="inlineStr">
        <is>
          <t>No</t>
        </is>
      </c>
      <c r="W319" t="inlineStr">
        <is>
          <t>No</t>
        </is>
      </c>
      <c r="X319" t="inlineStr">
        <is>
          <t>U</t>
        </is>
      </c>
    </row>
    <row r="320" ht="16" customHeight="1">
      <c r="A320" t="n">
        <v>319</v>
      </c>
      <c r="B320" t="inlineStr">
        <is>
          <t>Prostate Size (if male)</t>
        </is>
      </c>
      <c r="C320" t="inlineStr">
        <is>
          <t>Prostate Size (if male)</t>
        </is>
      </c>
      <c r="D320" t="inlineStr">
        <is>
          <t>Major</t>
        </is>
      </c>
      <c r="O320" t="inlineStr">
        <is>
          <t>Yes</t>
        </is>
      </c>
      <c r="P320" t="inlineStr">
        <is>
          <t>USG</t>
        </is>
      </c>
      <c r="Q320" t="inlineStr">
        <is>
          <t>Scan Findings (USG)</t>
        </is>
      </c>
      <c r="R320" t="inlineStr">
        <is>
          <t>&lt;30</t>
        </is>
      </c>
      <c r="S320" t="inlineStr">
        <is>
          <t>—</t>
        </is>
      </c>
      <c r="T320" t="inlineStr">
        <is>
          <t>—</t>
        </is>
      </c>
      <c r="U320" t="inlineStr">
        <is>
          <t>—</t>
        </is>
      </c>
      <c r="V320" t="inlineStr">
        <is>
          <t>No</t>
        </is>
      </c>
      <c r="W320" t="inlineStr">
        <is>
          <t>No</t>
        </is>
      </c>
      <c r="X320" t="inlineStr">
        <is>
          <t>U</t>
        </is>
      </c>
    </row>
    <row r="321" ht="16" customHeight="1">
      <c r="A321" t="n">
        <v>320</v>
      </c>
      <c r="B321" t="inlineStr">
        <is>
          <t>Right Breast: Mass</t>
        </is>
      </c>
      <c r="C321" t="inlineStr">
        <is>
          <t>Right Breast: Mass</t>
        </is>
      </c>
      <c r="D321" t="inlineStr">
        <is>
          <t>Major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Mammography</t>
        </is>
      </c>
      <c r="Q321" t="inlineStr">
        <is>
          <t>Mammography Report</t>
        </is>
      </c>
      <c r="R321" t="inlineStr">
        <is>
          <t>None</t>
        </is>
      </c>
      <c r="S321" t="inlineStr">
        <is>
          <t>—</t>
        </is>
      </c>
      <c r="T321" t="inlineStr">
        <is>
          <t>—</t>
        </is>
      </c>
      <c r="U321" t="inlineStr">
        <is>
          <t>—</t>
        </is>
      </c>
      <c r="V321" t="inlineStr">
        <is>
          <t>No</t>
        </is>
      </c>
      <c r="W321" t="inlineStr">
        <is>
          <t>No</t>
        </is>
      </c>
      <c r="X321" t="inlineStr">
        <is>
          <t>U</t>
        </is>
      </c>
    </row>
    <row r="322" ht="16" customHeight="1">
      <c r="A322" t="n">
        <v>321</v>
      </c>
      <c r="B322" t="inlineStr">
        <is>
          <t>Right Breast: Calcifications</t>
        </is>
      </c>
      <c r="C322" t="inlineStr">
        <is>
          <t>Right Breast: Calcifications</t>
        </is>
      </c>
      <c r="D322" t="inlineStr">
        <is>
          <t>Major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Yes</t>
        </is>
      </c>
      <c r="O322" t="inlineStr">
        <is>
          <t>No</t>
        </is>
      </c>
      <c r="P322" t="inlineStr">
        <is>
          <t>Mammography</t>
        </is>
      </c>
      <c r="Q322" t="inlineStr">
        <is>
          <t>Mammography Report</t>
        </is>
      </c>
      <c r="R322" t="inlineStr">
        <is>
          <t>None</t>
        </is>
      </c>
      <c r="S322" t="inlineStr">
        <is>
          <t>—</t>
        </is>
      </c>
      <c r="T322" t="inlineStr">
        <is>
          <t>—</t>
        </is>
      </c>
      <c r="U322" t="inlineStr">
        <is>
          <t>—</t>
        </is>
      </c>
      <c r="V322" t="inlineStr">
        <is>
          <t>No</t>
        </is>
      </c>
      <c r="W322" t="inlineStr">
        <is>
          <t>No</t>
        </is>
      </c>
      <c r="X322" t="inlineStr">
        <is>
          <t>U</t>
        </is>
      </c>
    </row>
    <row r="323" ht="16" customHeight="1">
      <c r="A323" t="n">
        <v>322</v>
      </c>
      <c r="B323" t="inlineStr">
        <is>
          <t>Right Breast: Architectural Distortion</t>
        </is>
      </c>
      <c r="C323" t="inlineStr">
        <is>
          <t>Right Breast: Architectural Distortion</t>
        </is>
      </c>
      <c r="D323" t="inlineStr">
        <is>
          <t>Major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Mammography</t>
        </is>
      </c>
      <c r="Q323" t="inlineStr">
        <is>
          <t>Mammography Report</t>
        </is>
      </c>
      <c r="R323" t="inlineStr">
        <is>
          <t>None</t>
        </is>
      </c>
      <c r="S323" t="inlineStr">
        <is>
          <t>—</t>
        </is>
      </c>
      <c r="T323" t="inlineStr">
        <is>
          <t>—</t>
        </is>
      </c>
      <c r="U323" t="inlineStr">
        <is>
          <t>—</t>
        </is>
      </c>
      <c r="V323" t="inlineStr">
        <is>
          <t>No</t>
        </is>
      </c>
      <c r="W323" t="inlineStr">
        <is>
          <t>No</t>
        </is>
      </c>
      <c r="X323" t="inlineStr">
        <is>
          <t>U</t>
        </is>
      </c>
    </row>
    <row r="324" ht="16" customHeight="1">
      <c r="A324" t="n">
        <v>323</v>
      </c>
      <c r="B324" t="inlineStr">
        <is>
          <t>Right Breast: Asymmetry</t>
        </is>
      </c>
      <c r="C324" t="inlineStr">
        <is>
          <t>Right Breast: Asymmetry</t>
        </is>
      </c>
      <c r="D324" t="inlineStr">
        <is>
          <t>Major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Yes</t>
        </is>
      </c>
      <c r="O324" t="inlineStr">
        <is>
          <t>No</t>
        </is>
      </c>
      <c r="P324" t="inlineStr">
        <is>
          <t>Mammography</t>
        </is>
      </c>
      <c r="Q324" t="inlineStr">
        <is>
          <t>Mammography Report</t>
        </is>
      </c>
      <c r="R324" t="inlineStr">
        <is>
          <t>None</t>
        </is>
      </c>
      <c r="S324" t="inlineStr">
        <is>
          <t>—</t>
        </is>
      </c>
      <c r="T324" t="inlineStr">
        <is>
          <t>—</t>
        </is>
      </c>
      <c r="U324" t="inlineStr">
        <is>
          <t>—</t>
        </is>
      </c>
      <c r="V324" t="inlineStr">
        <is>
          <t>No</t>
        </is>
      </c>
      <c r="W324" t="inlineStr">
        <is>
          <t>No</t>
        </is>
      </c>
      <c r="X324" t="inlineStr">
        <is>
          <t>U</t>
        </is>
      </c>
    </row>
    <row r="325" ht="16" customHeight="1">
      <c r="A325" t="n">
        <v>324</v>
      </c>
      <c r="B325" t="inlineStr">
        <is>
          <t>Right Breast: Skin Thickening</t>
        </is>
      </c>
      <c r="C325" t="inlineStr">
        <is>
          <t>Right Breast: Skin Thickening</t>
        </is>
      </c>
      <c r="D325" t="inlineStr">
        <is>
          <t>Major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Yes</t>
        </is>
      </c>
      <c r="O325" t="inlineStr">
        <is>
          <t>No</t>
        </is>
      </c>
      <c r="P325" t="inlineStr">
        <is>
          <t>Mammography</t>
        </is>
      </c>
      <c r="Q325" t="inlineStr">
        <is>
          <t>Mammography Report</t>
        </is>
      </c>
      <c r="R325" t="inlineStr">
        <is>
          <t>None</t>
        </is>
      </c>
      <c r="S325" t="inlineStr">
        <is>
          <t>—</t>
        </is>
      </c>
      <c r="T325" t="inlineStr">
        <is>
          <t>—</t>
        </is>
      </c>
      <c r="U325" t="inlineStr">
        <is>
          <t>—</t>
        </is>
      </c>
      <c r="V325" t="inlineStr">
        <is>
          <t>No</t>
        </is>
      </c>
      <c r="W325" t="inlineStr">
        <is>
          <t>No</t>
        </is>
      </c>
      <c r="X325" t="inlineStr">
        <is>
          <t>U</t>
        </is>
      </c>
    </row>
    <row r="326" ht="16" customHeight="1">
      <c r="A326" t="n">
        <v>325</v>
      </c>
      <c r="B326" t="inlineStr">
        <is>
          <t>Right Breast: Nipple Retraction</t>
        </is>
      </c>
      <c r="C326" t="inlineStr">
        <is>
          <t>Right Breast: Nipple Retraction</t>
        </is>
      </c>
      <c r="D326" t="inlineStr">
        <is>
          <t>Major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inlineStr">
        <is>
          <t>No</t>
        </is>
      </c>
      <c r="P326" t="inlineStr">
        <is>
          <t>Mammography</t>
        </is>
      </c>
      <c r="Q326" t="inlineStr">
        <is>
          <t>Mammography Report</t>
        </is>
      </c>
      <c r="R326" t="inlineStr">
        <is>
          <t>None</t>
        </is>
      </c>
      <c r="S326" t="inlineStr">
        <is>
          <t>—</t>
        </is>
      </c>
      <c r="T326" t="inlineStr">
        <is>
          <t>—</t>
        </is>
      </c>
      <c r="U326" t="inlineStr">
        <is>
          <t>—</t>
        </is>
      </c>
      <c r="V326" t="inlineStr">
        <is>
          <t>No</t>
        </is>
      </c>
      <c r="W326" t="inlineStr">
        <is>
          <t>No</t>
        </is>
      </c>
      <c r="X326" t="inlineStr">
        <is>
          <t>U</t>
        </is>
      </c>
    </row>
    <row r="327" ht="16" customHeight="1">
      <c r="A327" t="n">
        <v>326</v>
      </c>
      <c r="B327" t="inlineStr">
        <is>
          <t>Right Breast: Lymphadenopathy</t>
        </is>
      </c>
      <c r="C327" t="inlineStr">
        <is>
          <t>Right Breast: Lymphadenopathy</t>
        </is>
      </c>
      <c r="D327" t="inlineStr">
        <is>
          <t>Major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Mammography</t>
        </is>
      </c>
      <c r="Q327" t="inlineStr">
        <is>
          <t>Mammography Report</t>
        </is>
      </c>
      <c r="R327" t="inlineStr">
        <is>
          <t>None</t>
        </is>
      </c>
      <c r="S327" t="inlineStr">
        <is>
          <t>—</t>
        </is>
      </c>
      <c r="T327" t="inlineStr">
        <is>
          <t>—</t>
        </is>
      </c>
      <c r="U327" t="inlineStr">
        <is>
          <t>—</t>
        </is>
      </c>
      <c r="V327" t="inlineStr">
        <is>
          <t>No</t>
        </is>
      </c>
      <c r="W327" t="inlineStr">
        <is>
          <t>No</t>
        </is>
      </c>
      <c r="X327" t="inlineStr">
        <is>
          <t>U</t>
        </is>
      </c>
    </row>
    <row r="328" ht="16" customHeight="1">
      <c r="A328" t="n">
        <v>327</v>
      </c>
      <c r="B328" t="inlineStr">
        <is>
          <t>Right Breast: BI-RADS Category</t>
        </is>
      </c>
      <c r="C328" t="inlineStr">
        <is>
          <t>Right Breast: BI-RADS Category</t>
        </is>
      </c>
      <c r="D328" t="inlineStr">
        <is>
          <t>Major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No</t>
        </is>
      </c>
      <c r="P328" t="inlineStr">
        <is>
          <t>Mammography</t>
        </is>
      </c>
      <c r="Q328" t="inlineStr">
        <is>
          <t>Mammography Report</t>
        </is>
      </c>
      <c r="R328" t="inlineStr">
        <is>
          <t>0-2</t>
        </is>
      </c>
      <c r="S328" t="inlineStr">
        <is>
          <t>—</t>
        </is>
      </c>
      <c r="T328" t="inlineStr">
        <is>
          <t>—</t>
        </is>
      </c>
      <c r="U328" t="inlineStr">
        <is>
          <t>—</t>
        </is>
      </c>
      <c r="V328" t="inlineStr">
        <is>
          <t>No</t>
        </is>
      </c>
      <c r="W328" t="inlineStr">
        <is>
          <t>No</t>
        </is>
      </c>
      <c r="X328" t="inlineStr">
        <is>
          <t>U</t>
        </is>
      </c>
    </row>
    <row r="329" ht="16" customHeight="1">
      <c r="A329" t="n">
        <v>328</v>
      </c>
      <c r="B329" t="inlineStr">
        <is>
          <t>Left Breast: Mass</t>
        </is>
      </c>
      <c r="C329" t="inlineStr">
        <is>
          <t>Left Breast: Mass</t>
        </is>
      </c>
      <c r="D329" t="inlineStr">
        <is>
          <t>Major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Mammography</t>
        </is>
      </c>
      <c r="Q329" t="inlineStr">
        <is>
          <t>Mammography Report</t>
        </is>
      </c>
      <c r="R329" t="inlineStr">
        <is>
          <t>None</t>
        </is>
      </c>
      <c r="S329" t="inlineStr">
        <is>
          <t>—</t>
        </is>
      </c>
      <c r="T329" t="inlineStr">
        <is>
          <t>—</t>
        </is>
      </c>
      <c r="U329" t="inlineStr">
        <is>
          <t>—</t>
        </is>
      </c>
      <c r="V329" t="inlineStr">
        <is>
          <t>No</t>
        </is>
      </c>
      <c r="W329" t="inlineStr">
        <is>
          <t>No</t>
        </is>
      </c>
      <c r="X329" t="inlineStr">
        <is>
          <t>U</t>
        </is>
      </c>
    </row>
    <row r="330" ht="16" customHeight="1">
      <c r="A330" t="n">
        <v>329</v>
      </c>
      <c r="B330" t="inlineStr">
        <is>
          <t>Left Breast: Calcifications</t>
        </is>
      </c>
      <c r="C330" t="inlineStr">
        <is>
          <t>Left Breast: Calcifications</t>
        </is>
      </c>
      <c r="D330" t="inlineStr">
        <is>
          <t>Major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Mammography</t>
        </is>
      </c>
      <c r="Q330" t="inlineStr">
        <is>
          <t>Mammography Report</t>
        </is>
      </c>
      <c r="R330" t="inlineStr">
        <is>
          <t>None</t>
        </is>
      </c>
      <c r="S330" t="inlineStr">
        <is>
          <t>—</t>
        </is>
      </c>
      <c r="T330" t="inlineStr">
        <is>
          <t>—</t>
        </is>
      </c>
      <c r="U330" t="inlineStr">
        <is>
          <t>—</t>
        </is>
      </c>
      <c r="V330" t="inlineStr">
        <is>
          <t>No</t>
        </is>
      </c>
      <c r="W330" t="inlineStr">
        <is>
          <t>No</t>
        </is>
      </c>
      <c r="X330" t="inlineStr">
        <is>
          <t>U</t>
        </is>
      </c>
    </row>
    <row r="331" ht="16" customHeight="1">
      <c r="A331" t="n">
        <v>330</v>
      </c>
      <c r="B331" t="inlineStr">
        <is>
          <t>Left Breast: Architectural Distortion</t>
        </is>
      </c>
      <c r="C331" t="inlineStr">
        <is>
          <t>Left Breast: Architectural Distortion</t>
        </is>
      </c>
      <c r="D331" t="inlineStr">
        <is>
          <t>Major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No</t>
        </is>
      </c>
      <c r="P331" t="inlineStr">
        <is>
          <t>Mammography</t>
        </is>
      </c>
      <c r="Q331" t="inlineStr">
        <is>
          <t>Mammography Report</t>
        </is>
      </c>
      <c r="R331" t="inlineStr">
        <is>
          <t>None</t>
        </is>
      </c>
      <c r="S331" t="inlineStr">
        <is>
          <t>—</t>
        </is>
      </c>
      <c r="T331" t="inlineStr">
        <is>
          <t>—</t>
        </is>
      </c>
      <c r="U331" t="inlineStr">
        <is>
          <t>—</t>
        </is>
      </c>
      <c r="V331" t="inlineStr">
        <is>
          <t>No</t>
        </is>
      </c>
      <c r="W331" t="inlineStr">
        <is>
          <t>No</t>
        </is>
      </c>
      <c r="X331" t="inlineStr">
        <is>
          <t>U</t>
        </is>
      </c>
    </row>
    <row r="332" ht="16" customHeight="1">
      <c r="A332" t="n">
        <v>331</v>
      </c>
      <c r="B332" t="inlineStr">
        <is>
          <t>Left Breast: Asymmetry</t>
        </is>
      </c>
      <c r="C332" t="inlineStr">
        <is>
          <t>Left Breast: Asymmetry</t>
        </is>
      </c>
      <c r="D332" t="inlineStr">
        <is>
          <t>Major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Mammography</t>
        </is>
      </c>
      <c r="Q332" t="inlineStr">
        <is>
          <t>Mammography Report</t>
        </is>
      </c>
      <c r="R332" t="inlineStr">
        <is>
          <t>None</t>
        </is>
      </c>
      <c r="S332" t="inlineStr">
        <is>
          <t>—</t>
        </is>
      </c>
      <c r="T332" t="inlineStr">
        <is>
          <t>—</t>
        </is>
      </c>
      <c r="U332" t="inlineStr">
        <is>
          <t>—</t>
        </is>
      </c>
      <c r="V332" t="inlineStr">
        <is>
          <t>No</t>
        </is>
      </c>
      <c r="W332" t="inlineStr">
        <is>
          <t>No</t>
        </is>
      </c>
      <c r="X332" t="inlineStr">
        <is>
          <t>U</t>
        </is>
      </c>
    </row>
    <row r="333" ht="16" customHeight="1">
      <c r="A333" t="n">
        <v>332</v>
      </c>
      <c r="B333" t="inlineStr">
        <is>
          <t>Left Breast: Skin Thickening</t>
        </is>
      </c>
      <c r="C333" t="inlineStr">
        <is>
          <t>Left Breast: Skin Thickening</t>
        </is>
      </c>
      <c r="D333" t="inlineStr">
        <is>
          <t>Major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No</t>
        </is>
      </c>
      <c r="P333" t="inlineStr">
        <is>
          <t>Mammography</t>
        </is>
      </c>
      <c r="Q333" t="inlineStr">
        <is>
          <t>Mammography Report</t>
        </is>
      </c>
      <c r="R333" t="inlineStr">
        <is>
          <t>None</t>
        </is>
      </c>
      <c r="S333" t="inlineStr">
        <is>
          <t>—</t>
        </is>
      </c>
      <c r="T333" t="inlineStr">
        <is>
          <t>—</t>
        </is>
      </c>
      <c r="U333" t="inlineStr">
        <is>
          <t>—</t>
        </is>
      </c>
      <c r="V333" t="inlineStr">
        <is>
          <t>No</t>
        </is>
      </c>
      <c r="W333" t="inlineStr">
        <is>
          <t>No</t>
        </is>
      </c>
      <c r="X333" t="inlineStr">
        <is>
          <t>U</t>
        </is>
      </c>
    </row>
    <row r="334" ht="16" customHeight="1">
      <c r="A334" t="n">
        <v>333</v>
      </c>
      <c r="B334" t="inlineStr">
        <is>
          <t>Left Breast: Nipple Retraction</t>
        </is>
      </c>
      <c r="C334" t="inlineStr">
        <is>
          <t>Left Breast: Nipple Retraction</t>
        </is>
      </c>
      <c r="D334" t="inlineStr">
        <is>
          <t>Major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Mammography</t>
        </is>
      </c>
      <c r="Q334" t="inlineStr">
        <is>
          <t>Mammography Report</t>
        </is>
      </c>
      <c r="R334" t="inlineStr">
        <is>
          <t>None</t>
        </is>
      </c>
      <c r="S334" t="inlineStr">
        <is>
          <t>—</t>
        </is>
      </c>
      <c r="T334" t="inlineStr">
        <is>
          <t>—</t>
        </is>
      </c>
      <c r="U334" t="inlineStr">
        <is>
          <t>—</t>
        </is>
      </c>
      <c r="V334" t="inlineStr">
        <is>
          <t>No</t>
        </is>
      </c>
      <c r="W334" t="inlineStr">
        <is>
          <t>No</t>
        </is>
      </c>
      <c r="X334" t="inlineStr">
        <is>
          <t>U</t>
        </is>
      </c>
    </row>
    <row r="335" ht="16" customHeight="1">
      <c r="A335" t="n">
        <v>334</v>
      </c>
      <c r="B335" t="inlineStr">
        <is>
          <t>Left Breast: Lymphadenopathy</t>
        </is>
      </c>
      <c r="C335" t="inlineStr">
        <is>
          <t>Left Breast: Lymphadenopathy</t>
        </is>
      </c>
      <c r="D335" t="inlineStr">
        <is>
          <t>Major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Mammography</t>
        </is>
      </c>
      <c r="Q335" t="inlineStr">
        <is>
          <t>Mammography Report</t>
        </is>
      </c>
      <c r="R335" t="inlineStr">
        <is>
          <t>None</t>
        </is>
      </c>
      <c r="S335" t="inlineStr">
        <is>
          <t>—</t>
        </is>
      </c>
      <c r="T335" t="inlineStr">
        <is>
          <t>—</t>
        </is>
      </c>
      <c r="U335" t="inlineStr">
        <is>
          <t>—</t>
        </is>
      </c>
      <c r="V335" t="inlineStr">
        <is>
          <t>No</t>
        </is>
      </c>
      <c r="W335" t="inlineStr">
        <is>
          <t>No</t>
        </is>
      </c>
      <c r="X335" t="inlineStr">
        <is>
          <t>U</t>
        </is>
      </c>
    </row>
    <row r="336" ht="16" customHeight="1">
      <c r="A336" t="n">
        <v>335</v>
      </c>
      <c r="B336" t="inlineStr">
        <is>
          <t>Left Breast: BI-RADS Category</t>
        </is>
      </c>
      <c r="C336" t="inlineStr">
        <is>
          <t>Left Breast: BI-RADS Category</t>
        </is>
      </c>
      <c r="D336" t="inlineStr">
        <is>
          <t>Major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No</t>
        </is>
      </c>
      <c r="P336" t="inlineStr">
        <is>
          <t>Mammography</t>
        </is>
      </c>
      <c r="Q336" t="inlineStr">
        <is>
          <t>Mammography Report</t>
        </is>
      </c>
      <c r="R336" t="inlineStr">
        <is>
          <t>0-2</t>
        </is>
      </c>
      <c r="S336" t="inlineStr">
        <is>
          <t>—</t>
        </is>
      </c>
      <c r="T336" t="inlineStr">
        <is>
          <t>—</t>
        </is>
      </c>
      <c r="U336" t="inlineStr">
        <is>
          <t>—</t>
        </is>
      </c>
      <c r="V336" t="inlineStr">
        <is>
          <t>No</t>
        </is>
      </c>
      <c r="W336" t="inlineStr">
        <is>
          <t>No</t>
        </is>
      </c>
      <c r="X336" t="inlineStr">
        <is>
          <t>U</t>
        </is>
      </c>
    </row>
    <row r="337" ht="16" customHeight="1">
      <c r="A337" t="n">
        <v>336</v>
      </c>
      <c r="B337" t="inlineStr">
        <is>
          <t>Breast Density</t>
        </is>
      </c>
      <c r="C337" t="inlineStr">
        <is>
          <t>Breast Density</t>
        </is>
      </c>
      <c r="D337" t="inlineStr">
        <is>
          <t>Major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Yes</t>
        </is>
      </c>
      <c r="O337" t="inlineStr">
        <is>
          <t>No</t>
        </is>
      </c>
      <c r="P337" t="inlineStr">
        <is>
          <t>Mammography</t>
        </is>
      </c>
      <c r="Q337" t="inlineStr">
        <is>
          <t>Mammography Report</t>
        </is>
      </c>
      <c r="R337" t="inlineStr">
        <is>
          <t>A or B</t>
        </is>
      </c>
      <c r="S337" t="inlineStr">
        <is>
          <t>—</t>
        </is>
      </c>
      <c r="T337" t="inlineStr">
        <is>
          <t>—</t>
        </is>
      </c>
      <c r="U337" t="inlineStr">
        <is>
          <t>—</t>
        </is>
      </c>
      <c r="V337" t="inlineStr">
        <is>
          <t>No</t>
        </is>
      </c>
      <c r="W337" t="inlineStr">
        <is>
          <t>No</t>
        </is>
      </c>
      <c r="X337" t="inlineStr">
        <is>
          <t>U</t>
        </is>
      </c>
    </row>
    <row r="338" ht="16" customHeight="1">
      <c r="A338" t="n">
        <v>337</v>
      </c>
      <c r="B338" t="inlineStr">
        <is>
          <t>Overall Assessment</t>
        </is>
      </c>
      <c r="C338" t="inlineStr">
        <is>
          <t>Overall Assessment</t>
        </is>
      </c>
      <c r="D338" t="inlineStr">
        <is>
          <t>Major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Mammography</t>
        </is>
      </c>
      <c r="Q338" t="inlineStr">
        <is>
          <t>Mammography Report</t>
        </is>
      </c>
      <c r="R338" t="inlineStr">
        <is>
          <t>Negative / Benign</t>
        </is>
      </c>
      <c r="S338" t="inlineStr">
        <is>
          <t>—</t>
        </is>
      </c>
      <c r="T338" t="inlineStr">
        <is>
          <t>—</t>
        </is>
      </c>
      <c r="U338" t="inlineStr">
        <is>
          <t>—</t>
        </is>
      </c>
      <c r="V338" t="inlineStr">
        <is>
          <t>No</t>
        </is>
      </c>
      <c r="W338" t="inlineStr">
        <is>
          <t>No</t>
        </is>
      </c>
      <c r="X338" t="inlineStr">
        <is>
          <t>U</t>
        </is>
      </c>
    </row>
    <row r="339" ht="16" customHeight="1">
      <c r="A339" t="n">
        <v>338</v>
      </c>
      <c r="B339" t="inlineStr">
        <is>
          <t>Brain: Ischemic causes</t>
        </is>
      </c>
      <c r="C339" t="inlineStr">
        <is>
          <t>Brain: Ischemic causes</t>
        </is>
      </c>
      <c r="D339" t="inlineStr">
        <is>
          <t>Major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MRI</t>
        </is>
      </c>
      <c r="Q339" t="inlineStr">
        <is>
          <t>MRI Report</t>
        </is>
      </c>
      <c r="R339" t="inlineStr">
        <is>
          <t>Normal</t>
        </is>
      </c>
      <c r="S339" t="inlineStr">
        <is>
          <t>—</t>
        </is>
      </c>
      <c r="T339" t="inlineStr">
        <is>
          <t>—</t>
        </is>
      </c>
      <c r="U339" t="inlineStr">
        <is>
          <t>—</t>
        </is>
      </c>
      <c r="V339" t="inlineStr">
        <is>
          <t>No</t>
        </is>
      </c>
      <c r="W339" t="inlineStr">
        <is>
          <t>No</t>
        </is>
      </c>
      <c r="X339" t="inlineStr">
        <is>
          <t>U</t>
        </is>
      </c>
    </row>
    <row r="340" ht="16" customHeight="1">
      <c r="A340" t="n">
        <v>339</v>
      </c>
      <c r="B340" t="inlineStr">
        <is>
          <t>Brain: Degenerative</t>
        </is>
      </c>
      <c r="C340" t="inlineStr">
        <is>
          <t>Brain: Degenerative</t>
        </is>
      </c>
      <c r="D340" t="inlineStr">
        <is>
          <t>Major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MRI</t>
        </is>
      </c>
      <c r="Q340" t="inlineStr">
        <is>
          <t>MRI Report</t>
        </is>
      </c>
      <c r="R340" t="inlineStr">
        <is>
          <t>Normal</t>
        </is>
      </c>
      <c r="S340" t="inlineStr">
        <is>
          <t>—</t>
        </is>
      </c>
      <c r="T340" t="inlineStr">
        <is>
          <t>—</t>
        </is>
      </c>
      <c r="U340" t="inlineStr">
        <is>
          <t>—</t>
        </is>
      </c>
      <c r="V340" t="inlineStr">
        <is>
          <t>No</t>
        </is>
      </c>
      <c r="W340" t="inlineStr">
        <is>
          <t>No</t>
        </is>
      </c>
      <c r="X340" t="inlineStr">
        <is>
          <t>U</t>
        </is>
      </c>
    </row>
    <row r="341" ht="16" customHeight="1">
      <c r="A341" t="n">
        <v>340</v>
      </c>
      <c r="B341" t="inlineStr">
        <is>
          <t>Brain: Post-infective</t>
        </is>
      </c>
      <c r="C341" t="inlineStr">
        <is>
          <t>Brain: Post-infective</t>
        </is>
      </c>
      <c r="D341" t="inlineStr">
        <is>
          <t>Major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MRI</t>
        </is>
      </c>
      <c r="Q341" t="inlineStr">
        <is>
          <t>MRI Report</t>
        </is>
      </c>
      <c r="R341" t="inlineStr">
        <is>
          <t>Normal</t>
        </is>
      </c>
      <c r="S341" t="inlineStr">
        <is>
          <t>—</t>
        </is>
      </c>
      <c r="T341" t="inlineStr">
        <is>
          <t>—</t>
        </is>
      </c>
      <c r="U341" t="inlineStr">
        <is>
          <t>—</t>
        </is>
      </c>
      <c r="V341" t="inlineStr">
        <is>
          <t>No</t>
        </is>
      </c>
      <c r="W341" t="inlineStr">
        <is>
          <t>No</t>
        </is>
      </c>
      <c r="X341" t="inlineStr">
        <is>
          <t>U</t>
        </is>
      </c>
    </row>
    <row r="342" ht="16" customHeight="1">
      <c r="A342" t="n">
        <v>341</v>
      </c>
      <c r="B342" t="inlineStr">
        <is>
          <t>Brain: Infective-active</t>
        </is>
      </c>
      <c r="C342" t="inlineStr">
        <is>
          <t>Brain: Infective-active</t>
        </is>
      </c>
      <c r="D342" t="inlineStr">
        <is>
          <t>Major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MRI</t>
        </is>
      </c>
      <c r="Q342" t="inlineStr">
        <is>
          <t>MRI Report</t>
        </is>
      </c>
      <c r="R342" t="inlineStr">
        <is>
          <t>Normal</t>
        </is>
      </c>
      <c r="S342" t="inlineStr">
        <is>
          <t>—</t>
        </is>
      </c>
      <c r="T342" t="inlineStr">
        <is>
          <t>—</t>
        </is>
      </c>
      <c r="U342" t="inlineStr">
        <is>
          <t>—</t>
        </is>
      </c>
      <c r="V342" t="inlineStr">
        <is>
          <t>No</t>
        </is>
      </c>
      <c r="W342" t="inlineStr">
        <is>
          <t>No</t>
        </is>
      </c>
      <c r="X342" t="inlineStr">
        <is>
          <t>U</t>
        </is>
      </c>
    </row>
    <row r="343" ht="16" customHeight="1">
      <c r="A343" t="n">
        <v>342</v>
      </c>
      <c r="B343" t="inlineStr">
        <is>
          <t>Brain: Congenital Causes</t>
        </is>
      </c>
      <c r="C343" t="inlineStr">
        <is>
          <t>Brain: Congenital Causes</t>
        </is>
      </c>
      <c r="D343" t="inlineStr">
        <is>
          <t>Major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MRI</t>
        </is>
      </c>
      <c r="Q343" t="inlineStr">
        <is>
          <t>MRI Report</t>
        </is>
      </c>
      <c r="R343" t="inlineStr">
        <is>
          <t>Normal</t>
        </is>
      </c>
      <c r="S343" t="inlineStr">
        <is>
          <t>—</t>
        </is>
      </c>
      <c r="T343" t="inlineStr">
        <is>
          <t>—</t>
        </is>
      </c>
      <c r="U343" t="inlineStr">
        <is>
          <t>—</t>
        </is>
      </c>
      <c r="V343" t="inlineStr">
        <is>
          <t>No</t>
        </is>
      </c>
      <c r="W343" t="inlineStr">
        <is>
          <t>No</t>
        </is>
      </c>
      <c r="X343" t="inlineStr">
        <is>
          <t>U</t>
        </is>
      </c>
    </row>
    <row r="344" ht="16" customHeight="1">
      <c r="A344" t="n">
        <v>343</v>
      </c>
      <c r="B344" t="inlineStr">
        <is>
          <t>Brain: Tumours</t>
        </is>
      </c>
      <c r="C344" t="inlineStr">
        <is>
          <t>Brain: Tumours</t>
        </is>
      </c>
      <c r="D344" t="inlineStr">
        <is>
          <t>Major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MRI</t>
        </is>
      </c>
      <c r="Q344" t="inlineStr">
        <is>
          <t>MRI Report</t>
        </is>
      </c>
      <c r="R344" t="inlineStr">
        <is>
          <t>None</t>
        </is>
      </c>
      <c r="S344" t="inlineStr">
        <is>
          <t>—</t>
        </is>
      </c>
      <c r="T344" t="inlineStr">
        <is>
          <t>—</t>
        </is>
      </c>
      <c r="U344" t="inlineStr">
        <is>
          <t>—</t>
        </is>
      </c>
      <c r="V344" t="inlineStr">
        <is>
          <t>No</t>
        </is>
      </c>
      <c r="W344" t="inlineStr">
        <is>
          <t>No</t>
        </is>
      </c>
      <c r="X344" t="inlineStr">
        <is>
          <t>U</t>
        </is>
      </c>
    </row>
    <row r="345" ht="16" customHeight="1">
      <c r="A345" t="n">
        <v>344</v>
      </c>
      <c r="B345" t="inlineStr">
        <is>
          <t>Heart Health: Degenerative</t>
        </is>
      </c>
      <c r="C345" t="inlineStr">
        <is>
          <t>Heart Health: Degenerative</t>
        </is>
      </c>
      <c r="D345" t="inlineStr">
        <is>
          <t>Major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MRI</t>
        </is>
      </c>
      <c r="Q345" t="inlineStr">
        <is>
          <t>MRI Report</t>
        </is>
      </c>
      <c r="R345" t="inlineStr">
        <is>
          <t>Normal</t>
        </is>
      </c>
      <c r="S345" t="inlineStr">
        <is>
          <t>—</t>
        </is>
      </c>
      <c r="T345" t="inlineStr">
        <is>
          <t>—</t>
        </is>
      </c>
      <c r="U345" t="inlineStr">
        <is>
          <t>—</t>
        </is>
      </c>
      <c r="V345" t="inlineStr">
        <is>
          <t>No</t>
        </is>
      </c>
      <c r="W345" t="inlineStr">
        <is>
          <t>No</t>
        </is>
      </c>
      <c r="X345" t="inlineStr">
        <is>
          <t>U</t>
        </is>
      </c>
    </row>
    <row r="346" ht="16" customHeight="1">
      <c r="A346" t="n">
        <v>345</v>
      </c>
      <c r="B346" t="inlineStr">
        <is>
          <t>Heart Health: Post-infective</t>
        </is>
      </c>
      <c r="C346" t="inlineStr">
        <is>
          <t>Heart Health: Post-infective</t>
        </is>
      </c>
      <c r="D346" t="inlineStr">
        <is>
          <t>Major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MRI</t>
        </is>
      </c>
      <c r="Q346" t="inlineStr">
        <is>
          <t>MRI Report</t>
        </is>
      </c>
      <c r="R346" t="inlineStr">
        <is>
          <t>Normal</t>
        </is>
      </c>
      <c r="S346" t="inlineStr">
        <is>
          <t>—</t>
        </is>
      </c>
      <c r="T346" t="inlineStr">
        <is>
          <t>—</t>
        </is>
      </c>
      <c r="U346" t="inlineStr">
        <is>
          <t>—</t>
        </is>
      </c>
      <c r="V346" t="inlineStr">
        <is>
          <t>No</t>
        </is>
      </c>
      <c r="W346" t="inlineStr">
        <is>
          <t>No</t>
        </is>
      </c>
      <c r="X346" t="inlineStr">
        <is>
          <t>U</t>
        </is>
      </c>
    </row>
    <row r="347" ht="16" customHeight="1">
      <c r="A347" t="n">
        <v>346</v>
      </c>
      <c r="B347" t="inlineStr">
        <is>
          <t>Heart Health: Inflammation</t>
        </is>
      </c>
      <c r="C347" t="inlineStr">
        <is>
          <t>Heart Health: Inflammation</t>
        </is>
      </c>
      <c r="D347" t="inlineStr">
        <is>
          <t>Major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MRI</t>
        </is>
      </c>
      <c r="Q347" t="inlineStr">
        <is>
          <t>MRI Report</t>
        </is>
      </c>
      <c r="R347" t="inlineStr">
        <is>
          <t>Normal</t>
        </is>
      </c>
      <c r="S347" t="inlineStr">
        <is>
          <t>—</t>
        </is>
      </c>
      <c r="T347" t="inlineStr">
        <is>
          <t>—</t>
        </is>
      </c>
      <c r="U347" t="inlineStr">
        <is>
          <t>—</t>
        </is>
      </c>
      <c r="V347" t="inlineStr">
        <is>
          <t>No</t>
        </is>
      </c>
      <c r="W347" t="inlineStr">
        <is>
          <t>No</t>
        </is>
      </c>
      <c r="X347" t="inlineStr">
        <is>
          <t>U</t>
        </is>
      </c>
    </row>
    <row r="348" ht="16" customHeight="1">
      <c r="A348" t="n">
        <v>347</v>
      </c>
      <c r="B348" t="inlineStr">
        <is>
          <t>Heart Health: Tumours</t>
        </is>
      </c>
      <c r="C348" t="inlineStr">
        <is>
          <t>Heart Health: Tumours</t>
        </is>
      </c>
      <c r="D348" t="inlineStr">
        <is>
          <t>Major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MRI</t>
        </is>
      </c>
      <c r="Q348" t="inlineStr">
        <is>
          <t>MRI Report</t>
        </is>
      </c>
      <c r="R348" t="inlineStr">
        <is>
          <t>None</t>
        </is>
      </c>
      <c r="S348" t="inlineStr">
        <is>
          <t>—</t>
        </is>
      </c>
      <c r="T348" t="inlineStr">
        <is>
          <t>—</t>
        </is>
      </c>
      <c r="U348" t="inlineStr">
        <is>
          <t>—</t>
        </is>
      </c>
      <c r="V348" t="inlineStr">
        <is>
          <t>No</t>
        </is>
      </c>
      <c r="W348" t="inlineStr">
        <is>
          <t>No</t>
        </is>
      </c>
      <c r="X348" t="inlineStr">
        <is>
          <t>U</t>
        </is>
      </c>
    </row>
    <row r="349" ht="16" customHeight="1">
      <c r="A349" t="n">
        <v>348</v>
      </c>
      <c r="B349" t="inlineStr">
        <is>
          <t>Heart Health: Infective-active</t>
        </is>
      </c>
      <c r="C349" t="inlineStr">
        <is>
          <t>Heart Health: Infective-active</t>
        </is>
      </c>
      <c r="D349" t="inlineStr">
        <is>
          <t>Major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MRI</t>
        </is>
      </c>
      <c r="Q349" t="inlineStr">
        <is>
          <t>MRI Report</t>
        </is>
      </c>
      <c r="R349" t="inlineStr">
        <is>
          <t>Normal</t>
        </is>
      </c>
      <c r="S349" t="inlineStr">
        <is>
          <t>—</t>
        </is>
      </c>
      <c r="T349" t="inlineStr">
        <is>
          <t>—</t>
        </is>
      </c>
      <c r="U349" t="inlineStr">
        <is>
          <t>—</t>
        </is>
      </c>
      <c r="V349" t="inlineStr">
        <is>
          <t>No</t>
        </is>
      </c>
      <c r="W349" t="inlineStr">
        <is>
          <t>No</t>
        </is>
      </c>
      <c r="X349" t="inlineStr">
        <is>
          <t>U</t>
        </is>
      </c>
    </row>
    <row r="350" ht="16" customHeight="1">
      <c r="A350" t="n">
        <v>349</v>
      </c>
      <c r="B350" t="inlineStr">
        <is>
          <t>Heart Health: Ischemic Causes</t>
        </is>
      </c>
      <c r="C350" t="inlineStr">
        <is>
          <t>Heart Health: Ischemic Causes</t>
        </is>
      </c>
      <c r="D350" t="inlineStr">
        <is>
          <t>Major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MRI</t>
        </is>
      </c>
      <c r="Q350" t="inlineStr">
        <is>
          <t>MRI Report</t>
        </is>
      </c>
      <c r="R350" t="inlineStr">
        <is>
          <t>Normal</t>
        </is>
      </c>
      <c r="S350" t="inlineStr">
        <is>
          <t>—</t>
        </is>
      </c>
      <c r="T350" t="inlineStr">
        <is>
          <t>—</t>
        </is>
      </c>
      <c r="U350" t="inlineStr">
        <is>
          <t>—</t>
        </is>
      </c>
      <c r="V350" t="inlineStr">
        <is>
          <t>No</t>
        </is>
      </c>
      <c r="W350" t="inlineStr">
        <is>
          <t>No</t>
        </is>
      </c>
      <c r="X350" t="inlineStr">
        <is>
          <t>U</t>
        </is>
      </c>
    </row>
    <row r="351" ht="16" customHeight="1">
      <c r="A351" t="n">
        <v>350</v>
      </c>
      <c r="B351" t="inlineStr">
        <is>
          <t>Heart Health: Congenital Causes</t>
        </is>
      </c>
      <c r="C351" t="inlineStr">
        <is>
          <t>Heart Health: Congenital Causes</t>
        </is>
      </c>
      <c r="D351" t="inlineStr">
        <is>
          <t>Major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MRI</t>
        </is>
      </c>
      <c r="Q351" t="inlineStr">
        <is>
          <t>MRI Report</t>
        </is>
      </c>
      <c r="R351" t="inlineStr">
        <is>
          <t>Normal</t>
        </is>
      </c>
      <c r="S351" t="inlineStr">
        <is>
          <t>—</t>
        </is>
      </c>
      <c r="T351" t="inlineStr">
        <is>
          <t>—</t>
        </is>
      </c>
      <c r="U351" t="inlineStr">
        <is>
          <t>—</t>
        </is>
      </c>
      <c r="V351" t="inlineStr">
        <is>
          <t>No</t>
        </is>
      </c>
      <c r="W351" t="inlineStr">
        <is>
          <t>No</t>
        </is>
      </c>
      <c r="X351" t="inlineStr">
        <is>
          <t>U</t>
        </is>
      </c>
    </row>
    <row r="352" ht="16" customHeight="1">
      <c r="A352" t="n">
        <v>351</v>
      </c>
      <c r="B352" t="inlineStr">
        <is>
          <t>Kidney &amp; Urinary Health: Degenerative</t>
        </is>
      </c>
      <c r="C352" t="inlineStr">
        <is>
          <t>Kidney &amp; Urinary Health: Degenerative</t>
        </is>
      </c>
      <c r="D352" t="inlineStr">
        <is>
          <t>Major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MRI</t>
        </is>
      </c>
      <c r="Q352" t="inlineStr">
        <is>
          <t>MRI Report</t>
        </is>
      </c>
      <c r="R352" t="inlineStr">
        <is>
          <t>Normal</t>
        </is>
      </c>
      <c r="S352" t="inlineStr">
        <is>
          <t>—</t>
        </is>
      </c>
      <c r="T352" t="inlineStr">
        <is>
          <t>—</t>
        </is>
      </c>
      <c r="U352" t="inlineStr">
        <is>
          <t>—</t>
        </is>
      </c>
      <c r="V352" t="inlineStr">
        <is>
          <t>No</t>
        </is>
      </c>
      <c r="W352" t="inlineStr">
        <is>
          <t>No</t>
        </is>
      </c>
      <c r="X352" t="inlineStr">
        <is>
          <t>U</t>
        </is>
      </c>
    </row>
    <row r="353" ht="16" customHeight="1">
      <c r="A353" t="n">
        <v>352</v>
      </c>
      <c r="B353" t="inlineStr">
        <is>
          <t>Kidney &amp; Urinary Health: Post-infective</t>
        </is>
      </c>
      <c r="C353" t="inlineStr">
        <is>
          <t>Kidney &amp; Urinary Health: Post-infective</t>
        </is>
      </c>
      <c r="D353" t="inlineStr">
        <is>
          <t>Major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MRI</t>
        </is>
      </c>
      <c r="Q353" t="inlineStr">
        <is>
          <t>MRI Report</t>
        </is>
      </c>
      <c r="R353" t="inlineStr">
        <is>
          <t>Normal</t>
        </is>
      </c>
      <c r="S353" t="inlineStr">
        <is>
          <t>—</t>
        </is>
      </c>
      <c r="T353" t="inlineStr">
        <is>
          <t>—</t>
        </is>
      </c>
      <c r="U353" t="inlineStr">
        <is>
          <t>—</t>
        </is>
      </c>
      <c r="V353" t="inlineStr">
        <is>
          <t>No</t>
        </is>
      </c>
      <c r="W353" t="inlineStr">
        <is>
          <t>No</t>
        </is>
      </c>
      <c r="X353" t="inlineStr">
        <is>
          <t>U</t>
        </is>
      </c>
    </row>
    <row r="354" ht="16" customHeight="1">
      <c r="A354" t="n">
        <v>353</v>
      </c>
      <c r="B354" t="inlineStr">
        <is>
          <t>Kidney &amp; Urinary Health: Inflammation</t>
        </is>
      </c>
      <c r="C354" t="inlineStr">
        <is>
          <t>Kidney &amp; Urinary Health: Inflammation</t>
        </is>
      </c>
      <c r="D354" t="inlineStr">
        <is>
          <t>Major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MRI</t>
        </is>
      </c>
      <c r="Q354" t="inlineStr">
        <is>
          <t>MRI Report</t>
        </is>
      </c>
      <c r="R354" t="inlineStr">
        <is>
          <t>Normal</t>
        </is>
      </c>
      <c r="S354" t="inlineStr">
        <is>
          <t>—</t>
        </is>
      </c>
      <c r="T354" t="inlineStr">
        <is>
          <t>—</t>
        </is>
      </c>
      <c r="U354" t="inlineStr">
        <is>
          <t>—</t>
        </is>
      </c>
      <c r="V354" t="inlineStr">
        <is>
          <t>No</t>
        </is>
      </c>
      <c r="W354" t="inlineStr">
        <is>
          <t>No</t>
        </is>
      </c>
      <c r="X354" t="inlineStr">
        <is>
          <t>U</t>
        </is>
      </c>
    </row>
    <row r="355" ht="16" customHeight="1">
      <c r="A355" t="n">
        <v>354</v>
      </c>
      <c r="B355" t="inlineStr">
        <is>
          <t>Kidney &amp; Urinary Health: Congenital Causes</t>
        </is>
      </c>
      <c r="C355" t="inlineStr">
        <is>
          <t>Kidney &amp; Urinary Health: Congenital Causes</t>
        </is>
      </c>
      <c r="D355" t="inlineStr">
        <is>
          <t>Major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MRI</t>
        </is>
      </c>
      <c r="Q355" t="inlineStr">
        <is>
          <t>MRI Report</t>
        </is>
      </c>
      <c r="R355" t="inlineStr">
        <is>
          <t>Normal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No</t>
        </is>
      </c>
      <c r="W355" t="inlineStr">
        <is>
          <t>No</t>
        </is>
      </c>
      <c r="X355" t="inlineStr">
        <is>
          <t>U</t>
        </is>
      </c>
    </row>
    <row r="356" ht="16" customHeight="1">
      <c r="A356" t="n">
        <v>355</v>
      </c>
      <c r="B356" t="inlineStr">
        <is>
          <t>Kidney &amp; Urinary Health: Tumours</t>
        </is>
      </c>
      <c r="C356" t="inlineStr">
        <is>
          <t>Kidney &amp; Urinary Health: Tumours</t>
        </is>
      </c>
      <c r="D356" t="inlineStr">
        <is>
          <t>Major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MRI</t>
        </is>
      </c>
      <c r="Q356" t="inlineStr">
        <is>
          <t>MRI Report</t>
        </is>
      </c>
      <c r="R356" t="inlineStr">
        <is>
          <t>None</t>
        </is>
      </c>
      <c r="S356" t="inlineStr">
        <is>
          <t>—</t>
        </is>
      </c>
      <c r="T356" t="inlineStr">
        <is>
          <t>—</t>
        </is>
      </c>
      <c r="U356" t="inlineStr">
        <is>
          <t>—</t>
        </is>
      </c>
      <c r="V356" t="inlineStr">
        <is>
          <t>No</t>
        </is>
      </c>
      <c r="W356" t="inlineStr">
        <is>
          <t>No</t>
        </is>
      </c>
      <c r="X356" t="inlineStr">
        <is>
          <t>U</t>
        </is>
      </c>
    </row>
    <row r="357" ht="16" customHeight="1">
      <c r="A357" t="n">
        <v>356</v>
      </c>
      <c r="B357" t="inlineStr">
        <is>
          <t>Kidney &amp; Urinary Health: Infective-active</t>
        </is>
      </c>
      <c r="C357" t="inlineStr">
        <is>
          <t>Kidney &amp; Urinary Health: Infective-active</t>
        </is>
      </c>
      <c r="D357" t="inlineStr">
        <is>
          <t>Major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MRI</t>
        </is>
      </c>
      <c r="Q357" t="inlineStr">
        <is>
          <t>MRI Report</t>
        </is>
      </c>
      <c r="R357" t="inlineStr">
        <is>
          <t>Normal</t>
        </is>
      </c>
      <c r="S357" t="inlineStr">
        <is>
          <t>—</t>
        </is>
      </c>
      <c r="T357" t="inlineStr">
        <is>
          <t>—</t>
        </is>
      </c>
      <c r="U357" t="inlineStr">
        <is>
          <t>—</t>
        </is>
      </c>
      <c r="V357" t="inlineStr">
        <is>
          <t>No</t>
        </is>
      </c>
      <c r="W357" t="inlineStr">
        <is>
          <t>No</t>
        </is>
      </c>
      <c r="X357" t="inlineStr">
        <is>
          <t>U</t>
        </is>
      </c>
    </row>
    <row r="358" ht="16" customHeight="1">
      <c r="A358" t="n">
        <v>357</v>
      </c>
      <c r="B358" t="inlineStr">
        <is>
          <t>Kidney &amp; Urinary Health: Ischemic Causes</t>
        </is>
      </c>
      <c r="C358" t="inlineStr">
        <is>
          <t>Kidney &amp; Urinary Health: Ischemic Causes</t>
        </is>
      </c>
      <c r="D358" t="inlineStr">
        <is>
          <t>Major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MRI</t>
        </is>
      </c>
      <c r="Q358" t="inlineStr">
        <is>
          <t>MRI Report</t>
        </is>
      </c>
      <c r="R358" t="inlineStr">
        <is>
          <t>Normal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No</t>
        </is>
      </c>
      <c r="W358" t="inlineStr">
        <is>
          <t>No</t>
        </is>
      </c>
      <c r="X358" t="inlineStr">
        <is>
          <t>U</t>
        </is>
      </c>
    </row>
    <row r="359" ht="16" customHeight="1">
      <c r="A359" t="n">
        <v>358</v>
      </c>
      <c r="B359" t="inlineStr">
        <is>
          <t>Kidney &amp; Urinary Health: Traumatic Issues</t>
        </is>
      </c>
      <c r="C359" t="inlineStr">
        <is>
          <t>Kidney &amp; Urinary Health: Traumatic Issues</t>
        </is>
      </c>
      <c r="D359" t="inlineStr">
        <is>
          <t>Major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MRI</t>
        </is>
      </c>
      <c r="Q359" t="inlineStr">
        <is>
          <t>MRI Report</t>
        </is>
      </c>
      <c r="R359" t="inlineStr">
        <is>
          <t>Normal</t>
        </is>
      </c>
      <c r="S359" t="inlineStr">
        <is>
          <t>—</t>
        </is>
      </c>
      <c r="T359" t="inlineStr">
        <is>
          <t>—</t>
        </is>
      </c>
      <c r="U359" t="inlineStr">
        <is>
          <t>—</t>
        </is>
      </c>
      <c r="V359" t="inlineStr">
        <is>
          <t>No</t>
        </is>
      </c>
      <c r="W359" t="inlineStr">
        <is>
          <t>No</t>
        </is>
      </c>
      <c r="X359" t="inlineStr">
        <is>
          <t>U</t>
        </is>
      </c>
    </row>
    <row r="360" ht="16" customHeight="1">
      <c r="A360" t="n">
        <v>359</v>
      </c>
      <c r="B360" t="inlineStr">
        <is>
          <t>Liver and Digestive Health: Degenerative</t>
        </is>
      </c>
      <c r="C360" t="inlineStr">
        <is>
          <t>Liver and Digestive Health: Degenerative</t>
        </is>
      </c>
      <c r="D360" t="inlineStr">
        <is>
          <t>Major</t>
        </is>
      </c>
      <c r="E360" t="inlineStr">
        <is>
          <t>No</t>
        </is>
      </c>
      <c r="F360" t="inlineStr">
        <is>
          <t>No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MRI</t>
        </is>
      </c>
      <c r="Q360" t="inlineStr">
        <is>
          <t>MRI Report</t>
        </is>
      </c>
      <c r="R360" t="inlineStr">
        <is>
          <t>Normal</t>
        </is>
      </c>
      <c r="S360" t="inlineStr">
        <is>
          <t>—</t>
        </is>
      </c>
      <c r="T360" t="inlineStr">
        <is>
          <t>—</t>
        </is>
      </c>
      <c r="U360" t="inlineStr">
        <is>
          <t>—</t>
        </is>
      </c>
      <c r="V360" t="inlineStr">
        <is>
          <t>No</t>
        </is>
      </c>
      <c r="W360" t="inlineStr">
        <is>
          <t>No</t>
        </is>
      </c>
      <c r="X360" t="inlineStr">
        <is>
          <t>U</t>
        </is>
      </c>
    </row>
    <row r="361" ht="16" customHeight="1">
      <c r="A361" t="n">
        <v>360</v>
      </c>
      <c r="B361" t="inlineStr">
        <is>
          <t>Liver and Digestive Health: Post-infective</t>
        </is>
      </c>
      <c r="C361" t="inlineStr">
        <is>
          <t>Liver and Digestive Health: Post-infective</t>
        </is>
      </c>
      <c r="D361" t="inlineStr">
        <is>
          <t>Major</t>
        </is>
      </c>
      <c r="E361" t="inlineStr">
        <is>
          <t>No</t>
        </is>
      </c>
      <c r="F361" t="inlineStr">
        <is>
          <t>No</t>
        </is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MRI</t>
        </is>
      </c>
      <c r="Q361" t="inlineStr">
        <is>
          <t>MRI Report</t>
        </is>
      </c>
      <c r="R361" t="inlineStr">
        <is>
          <t>Normal</t>
        </is>
      </c>
      <c r="S361" t="inlineStr">
        <is>
          <t>—</t>
        </is>
      </c>
      <c r="T361" t="inlineStr">
        <is>
          <t>—</t>
        </is>
      </c>
      <c r="U361" t="inlineStr">
        <is>
          <t>—</t>
        </is>
      </c>
      <c r="V361" t="inlineStr">
        <is>
          <t>No</t>
        </is>
      </c>
      <c r="W361" t="inlineStr">
        <is>
          <t>No</t>
        </is>
      </c>
      <c r="X361" t="inlineStr">
        <is>
          <t>U</t>
        </is>
      </c>
    </row>
    <row r="362" ht="16" customHeight="1">
      <c r="A362" t="n">
        <v>361</v>
      </c>
      <c r="B362" t="inlineStr">
        <is>
          <t>Liver and Digestive Health: Inflammation</t>
        </is>
      </c>
      <c r="C362" t="inlineStr">
        <is>
          <t>Liver and Digestive Health: Inflammation</t>
        </is>
      </c>
      <c r="D362" t="inlineStr">
        <is>
          <t>Major</t>
        </is>
      </c>
      <c r="E362" t="inlineStr">
        <is>
          <t>No</t>
        </is>
      </c>
      <c r="F362" t="inlineStr">
        <is>
          <t>No</t>
        </is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MRI</t>
        </is>
      </c>
      <c r="Q362" t="inlineStr">
        <is>
          <t>MRI Report</t>
        </is>
      </c>
      <c r="R362" t="inlineStr">
        <is>
          <t>Normal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No</t>
        </is>
      </c>
      <c r="W362" t="inlineStr">
        <is>
          <t>No</t>
        </is>
      </c>
      <c r="X362" t="inlineStr">
        <is>
          <t>U</t>
        </is>
      </c>
    </row>
    <row r="363" ht="16" customHeight="1">
      <c r="A363" t="n">
        <v>362</v>
      </c>
      <c r="B363" t="inlineStr">
        <is>
          <t>Liver and Digestive Health: Tumours</t>
        </is>
      </c>
      <c r="C363" t="inlineStr">
        <is>
          <t>Liver and Digestive Health: Tumours</t>
        </is>
      </c>
      <c r="D363" t="inlineStr">
        <is>
          <t>Major</t>
        </is>
      </c>
      <c r="E363" t="inlineStr">
        <is>
          <t>No</t>
        </is>
      </c>
      <c r="F363" t="inlineStr">
        <is>
          <t>No</t>
        </is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MRI</t>
        </is>
      </c>
      <c r="Q363" t="inlineStr">
        <is>
          <t>MRI Report</t>
        </is>
      </c>
      <c r="R363" t="inlineStr">
        <is>
          <t>None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No</t>
        </is>
      </c>
      <c r="W363" t="inlineStr">
        <is>
          <t>No</t>
        </is>
      </c>
      <c r="X363" t="inlineStr">
        <is>
          <t>U</t>
        </is>
      </c>
    </row>
    <row r="364" ht="16" customHeight="1">
      <c r="A364" t="n">
        <v>363</v>
      </c>
      <c r="B364" t="inlineStr">
        <is>
          <t>Liver and Digestive Health: Infective-active</t>
        </is>
      </c>
      <c r="C364" t="inlineStr">
        <is>
          <t>Liver and Digestive Health: Infective-active</t>
        </is>
      </c>
      <c r="D364" t="inlineStr">
        <is>
          <t>Major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MRI</t>
        </is>
      </c>
      <c r="Q364" t="inlineStr">
        <is>
          <t>MRI Report</t>
        </is>
      </c>
      <c r="R364" t="inlineStr">
        <is>
          <t>Normal</t>
        </is>
      </c>
      <c r="S364" t="inlineStr">
        <is>
          <t>—</t>
        </is>
      </c>
      <c r="T364" t="inlineStr">
        <is>
          <t>—</t>
        </is>
      </c>
      <c r="U364" t="inlineStr">
        <is>
          <t>—</t>
        </is>
      </c>
      <c r="V364" t="inlineStr">
        <is>
          <t>No</t>
        </is>
      </c>
      <c r="W364" t="inlineStr">
        <is>
          <t>No</t>
        </is>
      </c>
      <c r="X364" t="inlineStr">
        <is>
          <t>U</t>
        </is>
      </c>
    </row>
    <row r="365" ht="16" customHeight="1">
      <c r="A365" t="n">
        <v>364</v>
      </c>
      <c r="B365" t="inlineStr">
        <is>
          <t>Liver and Digestive Health: Ischemic Causes</t>
        </is>
      </c>
      <c r="C365" t="inlineStr">
        <is>
          <t>Liver and Digestive Health: Ischemic Causes</t>
        </is>
      </c>
      <c r="D365" t="inlineStr">
        <is>
          <t>Major</t>
        </is>
      </c>
      <c r="E365" t="inlineStr">
        <is>
          <t>No</t>
        </is>
      </c>
      <c r="F365" t="inlineStr">
        <is>
          <t>No</t>
        </is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MRI</t>
        </is>
      </c>
      <c r="Q365" t="inlineStr">
        <is>
          <t>MRI Report</t>
        </is>
      </c>
      <c r="R365" t="inlineStr">
        <is>
          <t>Normal</t>
        </is>
      </c>
      <c r="S365" t="inlineStr">
        <is>
          <t>—</t>
        </is>
      </c>
      <c r="T365" t="inlineStr">
        <is>
          <t>—</t>
        </is>
      </c>
      <c r="U365" t="inlineStr">
        <is>
          <t>—</t>
        </is>
      </c>
      <c r="V365" t="inlineStr">
        <is>
          <t>No</t>
        </is>
      </c>
      <c r="W365" t="inlineStr">
        <is>
          <t>No</t>
        </is>
      </c>
      <c r="X365" t="inlineStr">
        <is>
          <t>U</t>
        </is>
      </c>
    </row>
    <row r="366" ht="16" customHeight="1">
      <c r="A366" t="n">
        <v>365</v>
      </c>
      <c r="B366" t="inlineStr">
        <is>
          <t>Liver and Digestive Health: Congenital Causes</t>
        </is>
      </c>
      <c r="C366" t="inlineStr">
        <is>
          <t>Liver and Digestive Health: Congenital Causes</t>
        </is>
      </c>
      <c r="D366" t="inlineStr">
        <is>
          <t>Major</t>
        </is>
      </c>
      <c r="E366" t="inlineStr">
        <is>
          <t>No</t>
        </is>
      </c>
      <c r="F366" t="inlineStr">
        <is>
          <t>No</t>
        </is>
      </c>
      <c r="G366" t="inlineStr">
        <is>
          <t>Yes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MRI</t>
        </is>
      </c>
      <c r="Q366" t="inlineStr">
        <is>
          <t>MRI Report</t>
        </is>
      </c>
      <c r="R366" t="inlineStr">
        <is>
          <t>Normal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No</t>
        </is>
      </c>
      <c r="W366" t="inlineStr">
        <is>
          <t>No</t>
        </is>
      </c>
      <c r="X366" t="inlineStr">
        <is>
          <t>U</t>
        </is>
      </c>
    </row>
    <row r="367" ht="16" customHeight="1">
      <c r="A367" t="n">
        <v>366</v>
      </c>
      <c r="B367" t="inlineStr">
        <is>
          <t>Bone, Muscle &amp; Joint Health: Degenerative</t>
        </is>
      </c>
      <c r="C367" t="inlineStr">
        <is>
          <t>Bone, Muscle &amp; Joint Health: Degenerative</t>
        </is>
      </c>
      <c r="D367" t="inlineStr">
        <is>
          <t>Major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MRI</t>
        </is>
      </c>
      <c r="Q367" t="inlineStr">
        <is>
          <t>MRI Report</t>
        </is>
      </c>
      <c r="R367" t="inlineStr">
        <is>
          <t>Normal</t>
        </is>
      </c>
      <c r="S367" t="inlineStr">
        <is>
          <t>—</t>
        </is>
      </c>
      <c r="T367" t="inlineStr">
        <is>
          <t>—</t>
        </is>
      </c>
      <c r="U367" t="inlineStr">
        <is>
          <t>—</t>
        </is>
      </c>
      <c r="V367" t="inlineStr">
        <is>
          <t>No</t>
        </is>
      </c>
      <c r="W367" t="inlineStr">
        <is>
          <t>No</t>
        </is>
      </c>
      <c r="X367" t="inlineStr">
        <is>
          <t>U</t>
        </is>
      </c>
    </row>
    <row r="368">
      <c r="A368" t="n">
        <v>367</v>
      </c>
      <c r="B368" t="inlineStr">
        <is>
          <t>Bone, Muscle &amp; Joint Health: Post-infective</t>
        </is>
      </c>
      <c r="C368" t="inlineStr">
        <is>
          <t>Bone, Muscle &amp; Joint Health: Post-infective</t>
        </is>
      </c>
      <c r="D368" t="inlineStr">
        <is>
          <t>Major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MRI</t>
        </is>
      </c>
      <c r="Q368" t="inlineStr">
        <is>
          <t>MRI Report</t>
        </is>
      </c>
      <c r="R368" t="inlineStr">
        <is>
          <t>Normal</t>
        </is>
      </c>
      <c r="S368" t="inlineStr">
        <is>
          <t>—</t>
        </is>
      </c>
      <c r="T368" t="inlineStr">
        <is>
          <t>—</t>
        </is>
      </c>
      <c r="U368" t="inlineStr">
        <is>
          <t>—</t>
        </is>
      </c>
      <c r="V368" t="inlineStr">
        <is>
          <t>No</t>
        </is>
      </c>
      <c r="W368" t="inlineStr">
        <is>
          <t>No</t>
        </is>
      </c>
      <c r="X368" t="inlineStr">
        <is>
          <t>U</t>
        </is>
      </c>
    </row>
    <row r="369">
      <c r="A369" t="n">
        <v>368</v>
      </c>
      <c r="B369" t="inlineStr">
        <is>
          <t>Bone, Muscle &amp; Joint Health: Inflammation</t>
        </is>
      </c>
      <c r="C369" t="inlineStr">
        <is>
          <t>Bone, Muscle &amp; Joint Health: Inflammation</t>
        </is>
      </c>
      <c r="D369" t="inlineStr">
        <is>
          <t>Major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MRI</t>
        </is>
      </c>
      <c r="Q369" t="inlineStr">
        <is>
          <t>MRI Report</t>
        </is>
      </c>
      <c r="R369" t="inlineStr">
        <is>
          <t>Normal</t>
        </is>
      </c>
      <c r="S369" t="inlineStr">
        <is>
          <t>—</t>
        </is>
      </c>
      <c r="T369" t="inlineStr">
        <is>
          <t>—</t>
        </is>
      </c>
      <c r="U369" t="inlineStr">
        <is>
          <t>—</t>
        </is>
      </c>
      <c r="V369" t="inlineStr">
        <is>
          <t>No</t>
        </is>
      </c>
      <c r="W369" t="inlineStr">
        <is>
          <t>No</t>
        </is>
      </c>
      <c r="X369" t="inlineStr">
        <is>
          <t>U</t>
        </is>
      </c>
    </row>
    <row r="370">
      <c r="A370" t="n">
        <v>369</v>
      </c>
      <c r="B370" t="inlineStr">
        <is>
          <t>Bone, Muscle &amp; Joint Health: Traumatic Issues</t>
        </is>
      </c>
      <c r="C370" t="inlineStr">
        <is>
          <t>Bone, Muscle &amp; Joint Health: Traumatic Issues</t>
        </is>
      </c>
      <c r="D370" t="inlineStr">
        <is>
          <t>Major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MRI</t>
        </is>
      </c>
      <c r="Q370" t="inlineStr">
        <is>
          <t>MRI Report</t>
        </is>
      </c>
      <c r="R370" t="inlineStr">
        <is>
          <t>Normal</t>
        </is>
      </c>
      <c r="S370" t="inlineStr">
        <is>
          <t>—</t>
        </is>
      </c>
      <c r="T370" t="inlineStr">
        <is>
          <t>—</t>
        </is>
      </c>
      <c r="U370" t="inlineStr">
        <is>
          <t>—</t>
        </is>
      </c>
      <c r="V370" t="inlineStr">
        <is>
          <t>No</t>
        </is>
      </c>
      <c r="W370" t="inlineStr">
        <is>
          <t>No</t>
        </is>
      </c>
      <c r="X370" t="inlineStr">
        <is>
          <t>U</t>
        </is>
      </c>
    </row>
    <row r="371">
      <c r="A371" t="n">
        <v>370</v>
      </c>
      <c r="B371" t="inlineStr">
        <is>
          <t>Bone, Muscle &amp; Joint Health: Tumours</t>
        </is>
      </c>
      <c r="C371" t="inlineStr">
        <is>
          <t>Bone, Muscle &amp; Joint Health: Tumours</t>
        </is>
      </c>
      <c r="D371" t="inlineStr">
        <is>
          <t>Major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MRI</t>
        </is>
      </c>
      <c r="Q371" t="inlineStr">
        <is>
          <t>MRI Report</t>
        </is>
      </c>
      <c r="R371" t="inlineStr">
        <is>
          <t>None</t>
        </is>
      </c>
      <c r="S371" t="inlineStr">
        <is>
          <t>—</t>
        </is>
      </c>
      <c r="T371" t="inlineStr">
        <is>
          <t>—</t>
        </is>
      </c>
      <c r="U371" t="inlineStr">
        <is>
          <t>—</t>
        </is>
      </c>
      <c r="V371" t="inlineStr">
        <is>
          <t>No</t>
        </is>
      </c>
      <c r="W371" t="inlineStr">
        <is>
          <t>No</t>
        </is>
      </c>
      <c r="X371" t="inlineStr">
        <is>
          <t>U</t>
        </is>
      </c>
    </row>
    <row r="372">
      <c r="A372" t="n">
        <v>371</v>
      </c>
      <c r="B372" t="inlineStr">
        <is>
          <t>Bone, Muscle &amp; Joint Health: Infective-active</t>
        </is>
      </c>
      <c r="C372" t="inlineStr">
        <is>
          <t>Bone, Muscle &amp; Joint Health: Infective-active</t>
        </is>
      </c>
      <c r="D372" t="inlineStr">
        <is>
          <t>Major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MRI</t>
        </is>
      </c>
      <c r="Q372" t="inlineStr">
        <is>
          <t>MRI Report</t>
        </is>
      </c>
      <c r="R372" t="inlineStr">
        <is>
          <t>Normal</t>
        </is>
      </c>
      <c r="S372" t="inlineStr">
        <is>
          <t>—</t>
        </is>
      </c>
      <c r="T372" t="inlineStr">
        <is>
          <t>—</t>
        </is>
      </c>
      <c r="U372" t="inlineStr">
        <is>
          <t>—</t>
        </is>
      </c>
      <c r="V372" t="inlineStr">
        <is>
          <t>No</t>
        </is>
      </c>
      <c r="W372" t="inlineStr">
        <is>
          <t>No</t>
        </is>
      </c>
      <c r="X372" t="inlineStr">
        <is>
          <t>U</t>
        </is>
      </c>
    </row>
    <row r="373">
      <c r="A373" t="n">
        <v>372</v>
      </c>
      <c r="B373" t="inlineStr">
        <is>
          <t>Bone, Muscle &amp; Joint Health: Ischemic Causes</t>
        </is>
      </c>
      <c r="C373" t="inlineStr">
        <is>
          <t>Bone, Muscle &amp; Joint Health: Ischemic Causes</t>
        </is>
      </c>
      <c r="D373" t="inlineStr">
        <is>
          <t>Major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MRI</t>
        </is>
      </c>
      <c r="Q373" t="inlineStr">
        <is>
          <t>MRI Report</t>
        </is>
      </c>
      <c r="R373" t="inlineStr">
        <is>
          <t>Normal</t>
        </is>
      </c>
      <c r="S373" t="inlineStr">
        <is>
          <t>—</t>
        </is>
      </c>
      <c r="T373" t="inlineStr">
        <is>
          <t>—</t>
        </is>
      </c>
      <c r="U373" t="inlineStr">
        <is>
          <t>—</t>
        </is>
      </c>
      <c r="V373" t="inlineStr">
        <is>
          <t>No</t>
        </is>
      </c>
      <c r="W373" t="inlineStr">
        <is>
          <t>No</t>
        </is>
      </c>
      <c r="X373" t="inlineStr">
        <is>
          <t>U</t>
        </is>
      </c>
    </row>
    <row r="374">
      <c r="A374" t="n">
        <v>373</v>
      </c>
      <c r="B374" t="inlineStr">
        <is>
          <t>Bone, Muscle &amp; Joint Health: Congenital Causes</t>
        </is>
      </c>
      <c r="C374" t="inlineStr">
        <is>
          <t>Bone, Muscle &amp; Joint Health: Congenital Causes</t>
        </is>
      </c>
      <c r="D374" t="inlineStr">
        <is>
          <t>Major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MRI</t>
        </is>
      </c>
      <c r="Q374" t="inlineStr">
        <is>
          <t>MRI Report</t>
        </is>
      </c>
      <c r="R374" t="inlineStr">
        <is>
          <t>Normal</t>
        </is>
      </c>
      <c r="S374" t="inlineStr">
        <is>
          <t>—</t>
        </is>
      </c>
      <c r="T374" t="inlineStr">
        <is>
          <t>—</t>
        </is>
      </c>
      <c r="U374" t="inlineStr">
        <is>
          <t>—</t>
        </is>
      </c>
      <c r="V374" t="inlineStr">
        <is>
          <t>No</t>
        </is>
      </c>
      <c r="W374" t="inlineStr">
        <is>
          <t>No</t>
        </is>
      </c>
      <c r="X374" t="inlineStr">
        <is>
          <t>U</t>
        </is>
      </c>
    </row>
    <row r="375">
      <c r="A375" t="n">
        <v>374</v>
      </c>
      <c r="B375" t="inlineStr">
        <is>
          <t>Endocrine and Metabolic Health: Degenerative</t>
        </is>
      </c>
      <c r="C375" t="inlineStr">
        <is>
          <t>Endocrine and Metabolic Health: Degenerative</t>
        </is>
      </c>
      <c r="D375" t="inlineStr">
        <is>
          <t>Major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MRI</t>
        </is>
      </c>
      <c r="Q375" t="inlineStr">
        <is>
          <t>MRI Report</t>
        </is>
      </c>
      <c r="R375" t="inlineStr">
        <is>
          <t>Normal</t>
        </is>
      </c>
      <c r="S375" t="inlineStr">
        <is>
          <t>—</t>
        </is>
      </c>
      <c r="T375" t="inlineStr">
        <is>
          <t>—</t>
        </is>
      </c>
      <c r="U375" t="inlineStr">
        <is>
          <t>—</t>
        </is>
      </c>
      <c r="V375" t="inlineStr">
        <is>
          <t>No</t>
        </is>
      </c>
      <c r="W375" t="inlineStr">
        <is>
          <t>No</t>
        </is>
      </c>
      <c r="X375" t="inlineStr">
        <is>
          <t>U</t>
        </is>
      </c>
    </row>
    <row r="376">
      <c r="A376" t="n">
        <v>375</v>
      </c>
      <c r="B376" t="inlineStr">
        <is>
          <t>Endocrine and Metabolic Health: Post-infective</t>
        </is>
      </c>
      <c r="C376" t="inlineStr">
        <is>
          <t>Endocrine and Metabolic Health: Post-infective</t>
        </is>
      </c>
      <c r="D376" t="inlineStr">
        <is>
          <t>Major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MRI</t>
        </is>
      </c>
      <c r="Q376" t="inlineStr">
        <is>
          <t>MRI Report</t>
        </is>
      </c>
      <c r="R376" t="inlineStr">
        <is>
          <t>Normal</t>
        </is>
      </c>
      <c r="S376" t="inlineStr">
        <is>
          <t>—</t>
        </is>
      </c>
      <c r="T376" t="inlineStr">
        <is>
          <t>—</t>
        </is>
      </c>
      <c r="U376" t="inlineStr">
        <is>
          <t>—</t>
        </is>
      </c>
      <c r="V376" t="inlineStr">
        <is>
          <t>No</t>
        </is>
      </c>
      <c r="W376" t="inlineStr">
        <is>
          <t>No</t>
        </is>
      </c>
      <c r="X376" t="inlineStr">
        <is>
          <t>U</t>
        </is>
      </c>
    </row>
    <row r="377">
      <c r="A377" t="n">
        <v>376</v>
      </c>
      <c r="B377" t="inlineStr">
        <is>
          <t>Endocrine and Metabolic Health: Inflammation</t>
        </is>
      </c>
      <c r="C377" t="inlineStr">
        <is>
          <t>Endocrine and Metabolic Health: Inflammation</t>
        </is>
      </c>
      <c r="D377" t="inlineStr">
        <is>
          <t>Major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MRI</t>
        </is>
      </c>
      <c r="Q377" t="inlineStr">
        <is>
          <t>MRI Report</t>
        </is>
      </c>
      <c r="R377" t="inlineStr">
        <is>
          <t>Normal</t>
        </is>
      </c>
      <c r="S377" t="inlineStr">
        <is>
          <t>—</t>
        </is>
      </c>
      <c r="T377" t="inlineStr">
        <is>
          <t>—</t>
        </is>
      </c>
      <c r="U377" t="inlineStr">
        <is>
          <t>—</t>
        </is>
      </c>
      <c r="V377" t="inlineStr">
        <is>
          <t>No</t>
        </is>
      </c>
      <c r="W377" t="inlineStr">
        <is>
          <t>No</t>
        </is>
      </c>
      <c r="X377" t="inlineStr">
        <is>
          <t>U</t>
        </is>
      </c>
    </row>
    <row r="378">
      <c r="A378" t="n">
        <v>377</v>
      </c>
      <c r="B378" t="inlineStr">
        <is>
          <t>Endocrine and Metabolic Health: Tumours</t>
        </is>
      </c>
      <c r="C378" t="inlineStr">
        <is>
          <t>Endocrine and Metabolic Health: Tumours</t>
        </is>
      </c>
      <c r="D378" t="inlineStr">
        <is>
          <t>Major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MRI</t>
        </is>
      </c>
      <c r="Q378" t="inlineStr">
        <is>
          <t>MRI Report</t>
        </is>
      </c>
      <c r="R378" t="inlineStr">
        <is>
          <t>None</t>
        </is>
      </c>
      <c r="S378" t="inlineStr">
        <is>
          <t>—</t>
        </is>
      </c>
      <c r="T378" t="inlineStr">
        <is>
          <t>—</t>
        </is>
      </c>
      <c r="U378" t="inlineStr">
        <is>
          <t>—</t>
        </is>
      </c>
      <c r="V378" t="inlineStr">
        <is>
          <t>No</t>
        </is>
      </c>
      <c r="W378" t="inlineStr">
        <is>
          <t>No</t>
        </is>
      </c>
      <c r="X378" t="inlineStr">
        <is>
          <t>U</t>
        </is>
      </c>
    </row>
    <row r="379">
      <c r="A379" t="n">
        <v>378</v>
      </c>
      <c r="B379" t="inlineStr">
        <is>
          <t>Endocrine and Metabolic Health: Infective-active</t>
        </is>
      </c>
      <c r="C379" t="inlineStr">
        <is>
          <t>Endocrine and Metabolic Health: Infective-active</t>
        </is>
      </c>
      <c r="D379" t="inlineStr">
        <is>
          <t>Major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MRI</t>
        </is>
      </c>
      <c r="Q379" t="inlineStr">
        <is>
          <t>MRI Report</t>
        </is>
      </c>
      <c r="R379" t="inlineStr">
        <is>
          <t>Normal</t>
        </is>
      </c>
      <c r="S379" t="inlineStr">
        <is>
          <t>—</t>
        </is>
      </c>
      <c r="T379" t="inlineStr">
        <is>
          <t>—</t>
        </is>
      </c>
      <c r="U379" t="inlineStr">
        <is>
          <t>—</t>
        </is>
      </c>
      <c r="V379" t="inlineStr">
        <is>
          <t>No</t>
        </is>
      </c>
      <c r="W379" t="inlineStr">
        <is>
          <t>No</t>
        </is>
      </c>
      <c r="X379" t="inlineStr">
        <is>
          <t>U</t>
        </is>
      </c>
    </row>
    <row r="380">
      <c r="A380" t="n">
        <v>379</v>
      </c>
      <c r="B380" t="inlineStr">
        <is>
          <t>Endocrine and Metabolic Health: Ischemic Causes</t>
        </is>
      </c>
      <c r="C380" t="inlineStr">
        <is>
          <t>Endocrine and Metabolic Health: Ischemic Causes</t>
        </is>
      </c>
      <c r="D380" t="inlineStr">
        <is>
          <t>Major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MRI</t>
        </is>
      </c>
      <c r="Q380" t="inlineStr">
        <is>
          <t>MRI Report</t>
        </is>
      </c>
      <c r="R380" t="inlineStr">
        <is>
          <t>Normal</t>
        </is>
      </c>
      <c r="S380" t="inlineStr">
        <is>
          <t>—</t>
        </is>
      </c>
      <c r="T380" t="inlineStr">
        <is>
          <t>—</t>
        </is>
      </c>
      <c r="U380" t="inlineStr">
        <is>
          <t>—</t>
        </is>
      </c>
      <c r="V380" t="inlineStr">
        <is>
          <t>No</t>
        </is>
      </c>
      <c r="W380" t="inlineStr">
        <is>
          <t>No</t>
        </is>
      </c>
      <c r="X380" t="inlineStr">
        <is>
          <t>U</t>
        </is>
      </c>
    </row>
    <row r="381">
      <c r="A381" t="n">
        <v>380</v>
      </c>
      <c r="B381" t="inlineStr">
        <is>
          <t>Endocrine and Metabolic Health: Congenital Causes</t>
        </is>
      </c>
      <c r="C381" t="inlineStr">
        <is>
          <t>Endocrine and Metabolic Health: Congenital Causes</t>
        </is>
      </c>
      <c r="D381" t="inlineStr">
        <is>
          <t>Major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MRI</t>
        </is>
      </c>
      <c r="Q381" t="inlineStr">
        <is>
          <t>MRI Report</t>
        </is>
      </c>
      <c r="R381" t="inlineStr">
        <is>
          <t>Normal</t>
        </is>
      </c>
      <c r="S381" t="inlineStr">
        <is>
          <t>—</t>
        </is>
      </c>
      <c r="T381" t="inlineStr">
        <is>
          <t>—</t>
        </is>
      </c>
      <c r="U381" t="inlineStr">
        <is>
          <t>—</t>
        </is>
      </c>
      <c r="V381" t="inlineStr">
        <is>
          <t>No</t>
        </is>
      </c>
      <c r="W381" t="inlineStr">
        <is>
          <t>No</t>
        </is>
      </c>
      <c r="X381" t="inlineStr">
        <is>
          <t>U</t>
        </is>
      </c>
    </row>
    <row r="382">
      <c r="A382" t="n">
        <v>381</v>
      </c>
      <c r="B382" t="inlineStr">
        <is>
          <t>Reproductive Health: Degenerative</t>
        </is>
      </c>
      <c r="C382" t="inlineStr">
        <is>
          <t>Reproductive Health: Degenerative</t>
        </is>
      </c>
      <c r="D382" t="inlineStr">
        <is>
          <t>Major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MRI</t>
        </is>
      </c>
      <c r="Q382" t="inlineStr">
        <is>
          <t>MRI Report</t>
        </is>
      </c>
      <c r="R382" t="inlineStr">
        <is>
          <t>Normal</t>
        </is>
      </c>
      <c r="S382" t="inlineStr">
        <is>
          <t>—</t>
        </is>
      </c>
      <c r="T382" t="inlineStr">
        <is>
          <t>—</t>
        </is>
      </c>
      <c r="U382" t="inlineStr">
        <is>
          <t>—</t>
        </is>
      </c>
      <c r="V382" t="inlineStr">
        <is>
          <t>No</t>
        </is>
      </c>
      <c r="W382" t="inlineStr">
        <is>
          <t>No</t>
        </is>
      </c>
      <c r="X382" t="inlineStr">
        <is>
          <t>U</t>
        </is>
      </c>
    </row>
    <row r="383">
      <c r="A383" t="n">
        <v>382</v>
      </c>
      <c r="B383" t="inlineStr">
        <is>
          <t>Reproductive Health: Post-infective</t>
        </is>
      </c>
      <c r="C383" t="inlineStr">
        <is>
          <t>Reproductive Health: Post-infective</t>
        </is>
      </c>
      <c r="D383" t="inlineStr">
        <is>
          <t>Major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MRI</t>
        </is>
      </c>
      <c r="Q383" t="inlineStr">
        <is>
          <t>MRI Report</t>
        </is>
      </c>
      <c r="R383" t="inlineStr">
        <is>
          <t>Normal</t>
        </is>
      </c>
      <c r="S383" t="inlineStr">
        <is>
          <t>—</t>
        </is>
      </c>
      <c r="T383" t="inlineStr">
        <is>
          <t>—</t>
        </is>
      </c>
      <c r="U383" t="inlineStr">
        <is>
          <t>—</t>
        </is>
      </c>
      <c r="V383" t="inlineStr">
        <is>
          <t>No</t>
        </is>
      </c>
      <c r="W383" t="inlineStr">
        <is>
          <t>No</t>
        </is>
      </c>
      <c r="X383" t="inlineStr">
        <is>
          <t>U</t>
        </is>
      </c>
    </row>
    <row r="384">
      <c r="A384" t="n">
        <v>383</v>
      </c>
      <c r="B384" t="inlineStr">
        <is>
          <t>Reproductive Health: Inflammation</t>
        </is>
      </c>
      <c r="C384" t="inlineStr">
        <is>
          <t>Reproductive Health: Inflammation</t>
        </is>
      </c>
      <c r="D384" t="inlineStr">
        <is>
          <t>Major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MRI</t>
        </is>
      </c>
      <c r="Q384" t="inlineStr">
        <is>
          <t>MRI Report</t>
        </is>
      </c>
      <c r="R384" t="inlineStr">
        <is>
          <t>Normal</t>
        </is>
      </c>
      <c r="S384" t="inlineStr">
        <is>
          <t>—</t>
        </is>
      </c>
      <c r="T384" t="inlineStr">
        <is>
          <t>—</t>
        </is>
      </c>
      <c r="U384" t="inlineStr">
        <is>
          <t>—</t>
        </is>
      </c>
      <c r="V384" t="inlineStr">
        <is>
          <t>No</t>
        </is>
      </c>
      <c r="W384" t="inlineStr">
        <is>
          <t>No</t>
        </is>
      </c>
      <c r="X384" t="inlineStr">
        <is>
          <t>U</t>
        </is>
      </c>
    </row>
    <row r="385">
      <c r="A385" t="n">
        <v>384</v>
      </c>
      <c r="B385" t="inlineStr">
        <is>
          <t>Reproductive Health: Tumours</t>
        </is>
      </c>
      <c r="C385" t="inlineStr">
        <is>
          <t>Reproductive Health: Tumours</t>
        </is>
      </c>
      <c r="D385" t="inlineStr">
        <is>
          <t>Major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MRI</t>
        </is>
      </c>
      <c r="Q385" t="inlineStr">
        <is>
          <t>MRI Report</t>
        </is>
      </c>
      <c r="R385" t="inlineStr">
        <is>
          <t>None</t>
        </is>
      </c>
      <c r="S385" t="inlineStr">
        <is>
          <t>—</t>
        </is>
      </c>
      <c r="T385" t="inlineStr">
        <is>
          <t>—</t>
        </is>
      </c>
      <c r="U385" t="inlineStr">
        <is>
          <t>—</t>
        </is>
      </c>
      <c r="V385" t="inlineStr">
        <is>
          <t>No</t>
        </is>
      </c>
      <c r="W385" t="inlineStr">
        <is>
          <t>No</t>
        </is>
      </c>
      <c r="X385" t="inlineStr">
        <is>
          <t>U</t>
        </is>
      </c>
    </row>
    <row r="386">
      <c r="A386" t="n">
        <v>385</v>
      </c>
      <c r="B386" t="inlineStr">
        <is>
          <t>Reproductive Health: Infective-active</t>
        </is>
      </c>
      <c r="C386" t="inlineStr">
        <is>
          <t>Reproductive Health: Infective-active</t>
        </is>
      </c>
      <c r="D386" t="inlineStr">
        <is>
          <t>Major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MRI</t>
        </is>
      </c>
      <c r="Q386" t="inlineStr">
        <is>
          <t>MRI Report</t>
        </is>
      </c>
      <c r="R386" t="inlineStr">
        <is>
          <t>Normal</t>
        </is>
      </c>
      <c r="S386" t="inlineStr">
        <is>
          <t>—</t>
        </is>
      </c>
      <c r="T386" t="inlineStr">
        <is>
          <t>—</t>
        </is>
      </c>
      <c r="U386" t="inlineStr">
        <is>
          <t>—</t>
        </is>
      </c>
      <c r="V386" t="inlineStr">
        <is>
          <t>No</t>
        </is>
      </c>
      <c r="W386" t="inlineStr">
        <is>
          <t>No</t>
        </is>
      </c>
      <c r="X386" t="inlineStr">
        <is>
          <t>U</t>
        </is>
      </c>
    </row>
    <row r="387">
      <c r="A387" t="n">
        <v>386</v>
      </c>
      <c r="B387" t="inlineStr">
        <is>
          <t>Reproductive Health: Ischemic Causes</t>
        </is>
      </c>
      <c r="C387" t="inlineStr">
        <is>
          <t>Reproductive Health: Ischemic Causes</t>
        </is>
      </c>
      <c r="D387" t="inlineStr">
        <is>
          <t>Major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MRI</t>
        </is>
      </c>
      <c r="Q387" t="inlineStr">
        <is>
          <t>MRI Report</t>
        </is>
      </c>
      <c r="R387" t="inlineStr">
        <is>
          <t>Normal</t>
        </is>
      </c>
      <c r="S387" t="inlineStr">
        <is>
          <t>—</t>
        </is>
      </c>
      <c r="T387" t="inlineStr">
        <is>
          <t>—</t>
        </is>
      </c>
      <c r="U387" t="inlineStr">
        <is>
          <t>—</t>
        </is>
      </c>
      <c r="V387" t="inlineStr">
        <is>
          <t>No</t>
        </is>
      </c>
      <c r="W387" t="inlineStr">
        <is>
          <t>No</t>
        </is>
      </c>
      <c r="X387" t="inlineStr">
        <is>
          <t>U</t>
        </is>
      </c>
    </row>
    <row r="388">
      <c r="A388" t="n">
        <v>387</v>
      </c>
      <c r="B388" t="inlineStr">
        <is>
          <t>Reproductive Health: Congenital Causes</t>
        </is>
      </c>
      <c r="C388" t="inlineStr">
        <is>
          <t>Reproductive Health: Congenital Causes</t>
        </is>
      </c>
      <c r="D388" t="inlineStr">
        <is>
          <t>Major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MRI</t>
        </is>
      </c>
      <c r="Q388" t="inlineStr">
        <is>
          <t>MRI Report</t>
        </is>
      </c>
      <c r="R388" t="inlineStr">
        <is>
          <t>Normal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No</t>
        </is>
      </c>
      <c r="W388" t="inlineStr">
        <is>
          <t>No</t>
        </is>
      </c>
      <c r="X388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2026-04-30T08:18:50Z</dcterms:created>
  <dcterms:modified xsi:type="dcterms:W3CDTF">2026-05-02T16:04:39Z</dcterms:modified>
  <cp:lastModifiedBy>Aditya Agrawal</cp:lastModifiedBy>
</cp:coreProperties>
</file>